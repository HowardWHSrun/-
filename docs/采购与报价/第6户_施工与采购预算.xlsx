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6d384f8f2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总览" sheetId="1" r:id="Rb18a41ac15ae4758"/>
    <x:sheet xmlns:r="http://schemas.openxmlformats.org/officeDocument/2006/relationships" name="硬装与花园" sheetId="2" r:id="Rece36c658a7744e5"/>
    <x:sheet xmlns:r="http://schemas.openxmlformats.org/officeDocument/2006/relationships" name="家具与定制" sheetId="3" r:id="R0efca7629e0041f4"/>
    <x:sheet xmlns:r="http://schemas.openxmlformats.org/officeDocument/2006/relationships" name="家电与卫浴" sheetId="4" r:id="Rad529f4e9f814964"/>
    <x:sheet xmlns:r="http://schemas.openxmlformats.org/officeDocument/2006/relationships" name="施工队候选" sheetId="5" r:id="R594ff91000cf46f9"/>
    <x:sheet xmlns:r="http://schemas.openxmlformats.org/officeDocument/2006/relationships" name="复尺与未计项" sheetId="6" r:id="R15df56e645b8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—&quot;"/>
    <x:numFmt numFmtId="201" formatCode="0"/>
    <x:numFmt numFmtId="202" formatCode="0.###"/>
    <x:numFmt numFmtId="203" formatCode="0.0%"/>
  </x:numFmts>
  <x:fonts count="9">
    <x:font>
      <x:sz val="11"/>
      <x:name val="Carlito"/>
    </x:font>
    <x:font>
      <x:sz val="11"/>
      <x:color rgb="FF263D38"/>
      <x:name val="Arial"/>
    </x:font>
    <x:font>
      <x:b/>
      <x:sz val="16"/>
      <x:color rgb="FF263D38"/>
      <x:name val="Arial"/>
    </x:font>
    <x:font>
      <x:b/>
      <x:sz val="14"/>
      <x:color rgb="FF263D38"/>
      <x:name val="Arial"/>
    </x:font>
    <x:font>
      <x:b/>
      <x:sz val="11"/>
      <x:color rgb="FFFFFFFF"/>
      <x:name val="Arial"/>
    </x:font>
    <x:font>
      <x:b/>
      <x:sz val="11"/>
      <x:color rgb="FF6B766F"/>
      <x:name val="Arial"/>
    </x:font>
    <x:font>
      <x:sz val="11"/>
      <x:color rgb="FF245BC1"/>
      <x:name val="Arial"/>
    </x:font>
    <x:font>
      <x:sz val="11"/>
      <x:color rgb="FF000000"/>
      <x:name val="Arial"/>
    </x:font>
    <x:font>
      <x:b/>
      <x:sz val="11"/>
      <x:color rgb="FF263D3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4495A"/>
      </x:patternFill>
    </x:fill>
    <x:fill>
      <x:patternFill patternType="solid">
        <x:fgColor rgb="FFFFF2CE"/>
      </x:patternFill>
    </x:fill>
    <x:fill>
      <x:patternFill patternType="solid">
        <x:fgColor rgb="FFF4F6F3"/>
      </x:patternFill>
    </x:fill>
    <x:fill>
      <x:patternFill patternType="solid">
        <x:fgColor rgb="FFE9EEE8"/>
      </x:patternFill>
    </x:fill>
  </x:fills>
  <x:borders count="2">
    <x:border/>
    <x:border>
      <x:bottom style="thin">
        <x:color rgb="FFDDE2D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2" fontId="1" fillId="0" borderId="0" xfId="0" applyNumberFormat="1" applyFont="1" applyFill="1" applyBorder="1" applyAlignment="1">
      <x:alignment horizontal="right" vertical="top" wrapText="1"/>
    </x:xf>
    <x:xf numFmtId="202" fontId="1" fillId="3" borderId="0" xfId="0" applyNumberFormat="1" applyFont="1" applyFill="1" applyBorder="1" applyAlignment="1">
      <x:alignment horizontal="right" vertical="top" wrapText="1"/>
    </x:xf>
    <x:xf numFmtId="202" fontId="6" fillId="3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0" fontId="6" fillId="3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1" fontId="6" fillId="3" borderId="0" xfId="0" applyNumberFormat="1" applyFont="1" applyFill="1" applyBorder="1" applyAlignment="1">
      <x:alignment horizontal="right" vertical="top" wrapText="1"/>
    </x:xf>
    <x:xf numFmtId="200" fontId="7" fillId="0" borderId="0" xfId="0" applyNumberFormat="1" applyFont="1" applyFill="1" applyBorder="1" applyAlignment="1">
      <x:alignment horizontal="right" vertical="top" wrapText="1"/>
    </x:xf>
    <x:xf numFmtId="0" fontId="1" fillId="4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6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3" fontId="6" fillId="3" borderId="0" xfId="0" applyNumberFormat="1" applyFont="1" applyFill="1" applyBorder="1" applyAlignment="1">
      <x:alignment horizontal="right" vertical="center"/>
    </x:xf>
    <x:xf numFmtId="200" fontId="8" fillId="5" borderId="0" xfId="0" applyNumberFormat="1" applyFont="1" applyFill="1" applyBorder="1" applyAlignment="1">
      <x:alignment horizontal="right" vertical="center"/>
    </x:xf>
    <x:xf numFmtId="200" fontId="6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">
    <x:dxf>
      <x:font>
        <x:color rgb="FFAA2222"/>
      </x:font>
      <x:fill>
        <x:patternFill patternType="solid">
          <x:bgColor rgb="FFFBE7E5"/>
        </x:patternFill>
      </x:fill>
    </x:dxf>
    <x:dxf>
      <x:font>
        <x:color rgb="FFAA2222"/>
      </x:font>
      <x:fill>
        <x:patternFill patternType="solid">
          <x:bgColor rgb="FFFBE7E5"/>
        </x:patternFill>
      </x:fill>
    </x:dxf>
    <x:dxf>
      <x:font>
        <x:color rgb="FFAA2222"/>
      </x:font>
      <x:fill>
        <x:patternFill patternType="solid">
          <x:bgColor rgb="FFFBE7E5"/>
        </x:patternFill>
      </x:fill>
    </x:dxf>
    <x:dxf>
      <x:font>
        <x:color rgb="FFAA2222"/>
      </x:font>
      <x:fill>
        <x:patternFill patternType="solid">
          <x:bgColor rgb="FFFB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29d2d5b8d347ba" /><Relationship Type="http://schemas.openxmlformats.org/officeDocument/2006/relationships/theme" Target="/xl/theme/theme1.xml" Id="Rd549c5c43f1d422d" /><Relationship Type="http://schemas.openxmlformats.org/officeDocument/2006/relationships/sharedStrings" Target="/xl/sharedStrings.xml" Id="R6f683e4f13604d51" /><Relationship Type="http://schemas.openxmlformats.org/officeDocument/2006/relationships/worksheet" Target="/xl/worksheets/sheet1.xml" Id="Rb18a41ac15ae4758" /><Relationship Type="http://schemas.openxmlformats.org/officeDocument/2006/relationships/worksheet" Target="/xl/worksheets/sheet2.xml" Id="Rece36c658a7744e5" /><Relationship Type="http://schemas.openxmlformats.org/officeDocument/2006/relationships/worksheet" Target="/xl/worksheets/sheet3.xml" Id="R0efca7629e0041f4" /><Relationship Type="http://schemas.openxmlformats.org/officeDocument/2006/relationships/worksheet" Target="/xl/worksheets/sheet4.xml" Id="Rad529f4e9f814964" /><Relationship Type="http://schemas.openxmlformats.org/officeDocument/2006/relationships/worksheet" Target="/xl/worksheets/sheet5.xml" Id="R594ff91000cf46f9" /><Relationship Type="http://schemas.openxmlformats.org/officeDocument/2006/relationships/worksheet" Target="/xl/worksheets/sheet6.xml" Id="R15df56e645b846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D38"/>
  </x:sheetPr>
  <x:sheetViews>
    <x:sheetView showGridLines="0" workbookViewId="0"/>
  </x:sheetViews>
  <x:sheetFormatPr defaultRowHeight="15"/>
  <x:cols>
    <x:col min="1" max="1" width="4" hidden="0" customWidth="1"/>
    <x:col min="2" max="2" width="32" hidden="0" customWidth="1"/>
    <x:col min="3" max="3" width="4" hidden="0" customWidth="1"/>
    <x:col min="4" max="4" width="4" hidden="0" customWidth="1"/>
    <x:col min="5" max="5" width="4" hidden="0" customWidth="1"/>
    <x:col min="6" max="6" width="22" hidden="0" customWidth="1"/>
    <x:col min="7" max="7" width="4" hidden="0" customWidth="1"/>
    <x:col min="8" max="8" width="30" hidden="0" customWidth="1"/>
    <x:col min="9" max="9" width="20" hidden="0" customWidth="1"/>
    <x:col min="10" max="10" width="20" hidden="0" customWidth="1"/>
    <x:col min="11" max="11" width="20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/>
      <x:c r="B2" s="3" t="str">
        <x:v>第6户 简约舒适预算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/>
      <x:c r="B3" s="4" t="str">
        <x:v>2026-09-10  人民币  杭州/富阳暂定  未取得现场报价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 t="str">
        <x:v>毛坯长期自住：四位常住优先，未来儿童家具分期。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0" customHeight="1">
      <x:c r="A7" s="2"/>
      <x:c r="B7" s="9" t="str">
        <x:v>分项</x:v>
      </x:c>
      <x:c r="C7" s="9"/>
      <x:c r="D7" s="9"/>
      <x:c r="E7" s="9"/>
      <x:c r="F7" s="9" t="str">
        <x:v>预算金额（元）</x:v>
      </x:c>
      <x:c r="G7" s="2"/>
      <x:c r="H7" s="2"/>
      <x:c r="I7" s="2"/>
      <x:c r="J7" s="2"/>
      <x:c r="K7" s="2"/>
      <x:c r="L7" s="2"/>
    </x:row>
    <x:row r="8" ht="24" customHeight="1">
      <x:c r="A8" s="2"/>
      <x:c r="B8" s="2" t="str">
        <x:v>前期与验收</x:v>
      </x:c>
      <x:c r="C8" s="2"/>
      <x:c r="D8" s="2"/>
      <x:c r="E8" s="2"/>
      <x:c r="F8" s="35" t="n">
        <x:f>SUMIFS('硬装与花园'!$K$7:$K$53,'硬装与花园'!$B$7:$B$53,"前期与验收")</x:f>
        <x:v>39000</x:v>
      </x:c>
      <x:c r="G8" s="2"/>
      <x:c r="H8" s="2" t="str">
        <x:v>价格口径</x:v>
      </x:c>
      <x:c r="I8" s="2"/>
      <x:c r="J8" s="2"/>
      <x:c r="K8" s="2"/>
      <x:c r="L8" s="2"/>
    </x:row>
    <x:row r="9" ht="24" customHeight="1">
      <x:c r="A9" s="2"/>
      <x:c r="B9" s="2" t="str">
        <x:v>室内硬装</x:v>
      </x:c>
      <x:c r="C9" s="2"/>
      <x:c r="D9" s="2"/>
      <x:c r="E9" s="2"/>
      <x:c r="F9" s="35" t="n">
        <x:f>SUMIFS('硬装与花园'!$K$7:$K$53,'硬装与花园'!$B$7:$B$53,"室内硬装")</x:f>
        <x:v>286331.7</x:v>
      </x:c>
      <x:c r="G9" s="2"/>
      <x:c r="H9" s="2" t="str">
        <x:v>商品显示价、预算预留和工程估算分列。</x:v>
      </x:c>
      <x:c r="I9" s="2"/>
      <x:c r="J9" s="2"/>
      <x:c r="K9" s="2"/>
      <x:c r="L9" s="2"/>
    </x:row>
    <x:row r="10" ht="24" customHeight="1">
      <x:c r="A10" s="2"/>
      <x:c r="B10" s="2" t="str">
        <x:v>花园工程</x:v>
      </x:c>
      <x:c r="C10" s="2"/>
      <x:c r="D10" s="2"/>
      <x:c r="E10" s="2"/>
      <x:c r="F10" s="35" t="n">
        <x:f>SUMIFS('硬装与花园'!$K$7:$K$53,'硬装与花园'!$B$7:$B$53,"花园工程")</x:f>
        <x:v>57159.299999999996</x:v>
      </x:c>
      <x:c r="G10" s="2"/>
      <x:c r="H10" s="2"/>
      <x:c r="I10" s="2"/>
      <x:c r="J10" s="2"/>
      <x:c r="K10" s="2"/>
      <x:c r="L10" s="2"/>
    </x:row>
    <x:row r="11" ht="24" customHeight="1">
      <x:c r="A11" s="2"/>
      <x:c r="B11" s="2" t="str">
        <x:v>成品家具</x:v>
      </x:c>
      <x:c r="C11" s="2"/>
      <x:c r="D11" s="2"/>
      <x:c r="E11" s="2"/>
      <x:c r="F11" s="35" t="n">
        <x:f>SUMIFS('家具与定制'!$K$7:$K$53,'家具与定制'!$B$7:$B$53,"成品家具")</x:f>
        <x:v>29532.88</x:v>
      </x:c>
      <x:c r="G11" s="2"/>
      <x:c r="H11" s="2" t="str">
        <x:v>单独列电梯</x:v>
      </x:c>
      <x:c r="I11" s="2"/>
      <x:c r="J11" s="2"/>
      <x:c r="K11" s="2"/>
      <x:c r="L11" s="2"/>
    </x:row>
    <x:row r="12" ht="24" customHeight="1">
      <x:c r="A12" s="2"/>
      <x:c r="B12" s="2" t="str">
        <x:v>定制家具</x:v>
      </x:c>
      <x:c r="C12" s="2"/>
      <x:c r="D12" s="2"/>
      <x:c r="E12" s="2"/>
      <x:c r="F12" s="35" t="n">
        <x:f>SUMIFS('家具与定制'!$K$7:$K$53,'家具与定制'!$B$7:$B$53,"定制家具")</x:f>
        <x:v>33600</x:v>
      </x:c>
      <x:c r="G12" s="2"/>
      <x:c r="H12" s="2" t="str">
        <x:v>18万元为采购目标，尚无厂家报价。</x:v>
      </x:c>
      <x:c r="I12" s="2"/>
      <x:c r="J12" s="2"/>
      <x:c r="K12" s="2"/>
      <x:c r="L12" s="2"/>
    </x:row>
    <x:row r="13" ht="24" customHeight="1">
      <x:c r="A13" s="2"/>
      <x:c r="B13" s="2" t="str">
        <x:v>家具附加</x:v>
      </x:c>
      <x:c r="C13" s="2"/>
      <x:c r="D13" s="2"/>
      <x:c r="E13" s="2"/>
      <x:c r="F13" s="35" t="n">
        <x:f>SUMIFS('家具与定制'!$K$7:$K$53,'家具与定制'!$B$7:$B$53,"家具附加")</x:f>
        <x:v>7500</x:v>
      </x:c>
      <x:c r="G13" s="2"/>
      <x:c r="H13" s="2" t="str">
        <x:v>不是某型号报价，也没有确认适配。</x:v>
      </x:c>
      <x:c r="I13" s="2"/>
      <x:c r="J13" s="2"/>
      <x:c r="K13" s="2"/>
      <x:c r="L13" s="2"/>
    </x:row>
    <x:row r="14" ht="24" customHeight="1">
      <x:c r="A14" s="2"/>
      <x:c r="B14" s="2" t="str">
        <x:v>家电与卫浴</x:v>
      </x:c>
      <x:c r="C14" s="2"/>
      <x:c r="D14" s="2"/>
      <x:c r="E14" s="2"/>
      <x:c r="F14" s="35" t="n">
        <x:f>SUM('家电与卫浴'!$K$7:$K$30)</x:f>
        <x:v>114913</x:v>
      </x:c>
      <x:c r="G14" s="2"/>
      <x:c r="H14" s="2"/>
      <x:c r="I14" s="2"/>
      <x:c r="J14" s="2"/>
      <x:c r="K14" s="2"/>
      <x:c r="L14" s="2"/>
    </x:row>
    <x:row r="15" ht="24" customHeight="1">
      <x:c r="A15" s="2"/>
      <x:c r="B15" s="2" t="str">
        <x:v>电梯暂列</x:v>
      </x:c>
      <x:c r="C15" s="2"/>
      <x:c r="D15" s="2"/>
      <x:c r="E15" s="2"/>
      <x:c r="F15" s="35" t="n">
        <x:f>SUMIFS('硬装与花园'!$K$7:$K$53,'硬装与花园'!$B$7:$B$53,"电梯暂列")</x:f>
        <x:v>180000</x:v>
      </x:c>
      <x:c r="G15" s="2"/>
      <x:c r="H15" s="2" t="str">
        <x:v>调预算的方法</x:v>
      </x:c>
      <x:c r="I15" s="2"/>
      <x:c r="J15" s="2"/>
      <x:c r="K15" s="2"/>
      <x:c r="L15" s="2"/>
    </x:row>
    <x:row r="16" ht="24" customHeight="1">
      <x:c r="A16" s="2"/>
      <x:c r="B16" s="2" t="str">
        <x:v>已计范围小计</x:v>
      </x:c>
      <x:c r="C16" s="2"/>
      <x:c r="D16" s="2"/>
      <x:c r="E16" s="2"/>
      <x:c r="F16" s="35" t="n">
        <x:f>SUM(F8:F15)</x:f>
        <x:v>748036.88</x:v>
      </x:c>
      <x:c r="G16" s="2"/>
      <x:c r="H16" s="2" t="str">
        <x:v>修改明细数量、单价或填写正式报价。</x:v>
      </x:c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35"/>
      <x:c r="G17" s="2"/>
      <x:c r="H17" s="2" t="str">
        <x:v>计入=0的可选项目不会加入主方案。</x:v>
      </x:c>
      <x:c r="I17" s="2"/>
      <x:c r="J17" s="2"/>
      <x:c r="K17" s="2"/>
      <x:c r="L17" s="2"/>
    </x:row>
    <x:row r="18" ht="24" customHeight="1">
      <x:c r="A18" s="2"/>
      <x:c r="B18" s="2" t="str">
        <x:v>预备费率（可调）</x:v>
      </x:c>
      <x:c r="C18" s="2"/>
      <x:c r="D18" s="2"/>
      <x:c r="E18" s="2"/>
      <x:c r="F18" s="36" t="n">
        <x:v>0.12</x:v>
      </x:c>
      <x:c r="G18" s="2"/>
      <x:c r="H18" s="2"/>
      <x:c r="I18" s="2"/>
      <x:c r="J18" s="2"/>
      <x:c r="K18" s="2"/>
      <x:c r="L18" s="2"/>
    </x:row>
    <x:row r="19" ht="24" customHeight="1">
      <x:c r="A19" s="2"/>
      <x:c r="B19" s="2" t="str">
        <x:v>已计范围预备费</x:v>
      </x:c>
      <x:c r="C19" s="2"/>
      <x:c r="D19" s="2"/>
      <x:c r="E19" s="2"/>
      <x:c r="F19" s="35" t="n">
        <x:f>F16*F18</x:f>
        <x:v>89764.4256</x:v>
      </x:c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35"/>
      <x:c r="G20" s="2"/>
      <x:c r="H20" s="2" t="str">
        <x:v>重要未计费用</x:v>
      </x:c>
      <x:c r="I20" s="2"/>
      <x:c r="J20" s="2"/>
      <x:c r="K20" s="2"/>
      <x:c r="L20" s="2"/>
    </x:row>
    <x:row r="21" ht="24" customHeight="1">
      <x:c r="A21" s="2"/>
      <x:c r="B21" s="29" t="str">
        <x:v>已计主方案预算</x:v>
      </x:c>
      <x:c r="C21" s="29"/>
      <x:c r="D21" s="29"/>
      <x:c r="E21" s="29"/>
      <x:c r="F21" s="37" t="n">
        <x:f>SUM(F16,F19)</x:f>
        <x:v>837801.3056</x:v>
      </x:c>
      <x:c r="G21" s="2"/>
      <x:c r="H21" s="2" t="str">
        <x:v>撤梯、开井、补板、加固未计价。</x:v>
      </x:c>
      <x:c r="I21" s="2"/>
      <x:c r="J21" s="2"/>
      <x:c r="K21" s="2"/>
      <x:c r="L21" s="2"/>
    </x:row>
    <x:row r="22" ht="24" customHeight="1">
      <x:c r="A22" s="2"/>
      <x:c r="B22" s="2" t="str">
        <x:v>其中电梯及对应预备费</x:v>
      </x:c>
      <x:c r="C22" s="2"/>
      <x:c r="D22" s="2"/>
      <x:c r="E22" s="2"/>
      <x:c r="F22" s="35" t="n">
        <x:f>F15*(1+F18)</x:f>
        <x:v>201600.00000000003</x:v>
      </x:c>
      <x:c r="G22" s="2"/>
      <x:c r="H22" s="2" t="str">
        <x:v>先核合法性和可施工方案，再询价。</x:v>
      </x:c>
      <x:c r="I22" s="2"/>
      <x:c r="J22" s="2"/>
      <x:c r="K22" s="2"/>
      <x:c r="L22" s="2"/>
    </x:row>
    <x:row r="23" ht="24" customHeight="1">
      <x:c r="A23" s="2"/>
      <x:c r="B23" s="2" t="str">
        <x:v>不含电梯的已计方案</x:v>
      </x:c>
      <x:c r="C23" s="2"/>
      <x:c r="D23" s="2"/>
      <x:c r="E23" s="2"/>
      <x:c r="F23" s="35" t="n">
        <x:f>F21-F22</x:f>
        <x:v>636201.3056</x:v>
      </x:c>
      <x:c r="G23" s="2"/>
      <x:c r="H23" s="2" t="str">
        <x:v>预备费不代表已覆盖这些未知工程。</x:v>
      </x:c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35"/>
      <x:c r="G24" s="2"/>
      <x:c r="H24" s="2"/>
      <x:c r="I24" s="2"/>
      <x:c r="J24" s="2"/>
      <x:c r="K24" s="2"/>
      <x:c r="L24" s="2"/>
    </x:row>
    <x:row r="25" ht="24" customHeight="1">
      <x:c r="A25" s="2"/>
      <x:c r="B25" s="2" t="str">
        <x:v>未勾选可选升级（另计）</x:v>
      </x:c>
      <x:c r="C25" s="2"/>
      <x:c r="D25" s="2"/>
      <x:c r="E25" s="2"/>
      <x:c r="F25" s="35" t="n">
        <x:f>SUMPRODUCT('硬装与花园'!E7:E53,'硬装与花园'!J7:J53)-SUM('硬装与花园'!K7:K53)+SUMPRODUCT('家具与定制'!E7:E53,'家具与定制'!J7:J53)-SUM('家具与定制'!K7:K53)+SUMPRODUCT('家电与卫浴'!E7:E30,'家电与卫浴'!J7:J30)-SUM('家电与卫浴'!K7:K30)</x:f>
        <x:v>102635.88</x:v>
      </x:c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35"/>
      <x:c r="G26" s="2"/>
      <x:c r="H26" s="2" t="str">
        <x:v>工程量基础</x:v>
      </x:c>
      <x:c r="I26" s="2"/>
      <x:c r="J26" s="2"/>
      <x:c r="K26" s="2"/>
      <x:c r="L26" s="2"/>
    </x:row>
    <x:row r="27" ht="24" customHeight="1">
      <x:c r="A27" s="2"/>
      <x:c r="B27" s="2" t="str">
        <x:v>你的预算上限（可填）</x:v>
      </x:c>
      <x:c r="C27" s="2"/>
      <x:c r="D27" s="2"/>
      <x:c r="E27" s="2"/>
      <x:c r="F27" s="38"/>
      <x:c r="G27" s="2"/>
      <x:c r="H27" s="2" t="str">
        <x:v>模型预算室内参考约216.9㎡。</x:v>
      </x:c>
      <x:c r="I27" s="2"/>
      <x:c r="J27" s="2"/>
      <x:c r="K27" s="2"/>
      <x:c r="L27" s="2"/>
    </x:row>
    <x:row r="28" ht="24" customHeight="1">
      <x:c r="A28" s="2"/>
      <x:c r="B28" s="2" t="str">
        <x:v>上限减已计预算</x:v>
      </x:c>
      <x:c r="C28" s="2"/>
      <x:c r="D28" s="2"/>
      <x:c r="E28" s="2"/>
      <x:c r="F28" s="35" t="str">
        <x:f>IF(ISBLANK(F27),"未设预算上限",F27-F21)</x:f>
        <x:v>未设预算上限</x:v>
      </x:c>
      <x:c r="G28" s="2"/>
      <x:c r="H28" s="2" t="str">
        <x:v>不是产权面积或施工结算面积。</x:v>
      </x:c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34" t="str">
        <x:v>现阶段未计价项目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 t="str">
        <x:v>X01 旧梯拆除、楼板补板、新井开孔与加固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 t="str">
        <x:v>X02 完整外窗更换、屋面或外墙全面整修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 t="str">
        <x:v>X03 产权外工程、地下开挖、景观重构及管网迁移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 t="str">
        <x:v>X04 未知渗漏结构缺陷、非常规运输与临时居住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 t="str">
        <x:v>X05 装修公司额外管理费/税费/甲供费差额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 t="str">
        <x:v>详细原因与采购前提见“复尺与未计项”。当前3D仍为P02示意家具。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</x:sheetData>
  <x:conditionalFormatting sqref="F28:F28">
    <x:cfRule type="cellIs" dxfId="3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4988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38" hidden="0" customWidth="1"/>
    <x:col min="5" max="5" width="9" hidden="0" customWidth="1"/>
    <x:col min="6" max="6" width="9" hidden="0" customWidth="1"/>
    <x:col min="7" max="7" width="14" hidden="0" customWidth="1"/>
    <x:col min="8" max="8" width="14" hidden="0" customWidth="1"/>
    <x:col min="9" max="9" width="10" hidden="0" customWidth="1"/>
    <x:col min="10" max="10" width="14" hidden="0" customWidth="1"/>
    <x:col min="11" max="11" width="16" hidden="0" customWidth="1"/>
    <x:col min="12" max="12" width="26" hidden="0" customWidth="1"/>
    <x:col min="13" max="13" width="60" hidden="0" customWidth="1"/>
    <x:col min="14" max="14" width="3" hidden="0" customWidth="1"/>
    <x:col min="15" max="15" width="5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第6户 硬装与花园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4" t="str">
        <x:v>人民币元。浅黄为可调输入；正式报价留空时采用预算单价，填0表示有效的零报价。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2" t="str">
        <x:v>本表已计金额</x:v>
      </x:c>
      <x:c r="B4" s="2"/>
      <x:c r="C4" s="2"/>
      <x:c r="D4" s="2"/>
      <x:c r="E4" s="2"/>
      <x:c r="F4" s="2"/>
      <x:c r="G4" s="2"/>
      <x:c r="H4" s="2"/>
      <x:c r="I4" s="2"/>
      <x:c r="J4" s="2"/>
      <x:c r="K4" s="6" t="n">
        <x:f>SUM(K7:K53)</x:f>
        <x:v>562491</x:v>
      </x:c>
      <x:c r="L4" s="2"/>
      <x:c r="M4" s="2"/>
      <x:c r="N4" s="2"/>
      <x:c r="O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9" t="str">
        <x:v>编号</x:v>
      </x:c>
      <x:c r="B6" s="9" t="str">
        <x:v>类别</x:v>
      </x:c>
      <x:c r="C6" s="9" t="str">
        <x:v>项目</x:v>
      </x:c>
      <x:c r="D6" s="9" t="str">
        <x:v>品牌 / 型号 / 货号</x:v>
      </x:c>
      <x:c r="E6" s="9" t="str">
        <x:v>数量</x:v>
      </x:c>
      <x:c r="F6" s="9" t="str">
        <x:v>单位</x:v>
      </x:c>
      <x:c r="G6" s="9" t="str">
        <x:v>预算单价</x:v>
      </x:c>
      <x:c r="H6" s="9" t="str">
        <x:v>正式报价</x:v>
      </x:c>
      <x:c r="I6" s="9" t="str">
        <x:v>计入1/0</x:v>
      </x:c>
      <x:c r="J6" s="9" t="str">
        <x:v>采用单价</x:v>
      </x:c>
      <x:c r="K6" s="9" t="str">
        <x:v>已计金额</x:v>
      </x:c>
      <x:c r="L6" s="9" t="str">
        <x:v>价格类型</x:v>
      </x:c>
      <x:c r="M6" s="9" t="str">
        <x:v>房间与尺寸条件</x:v>
      </x:c>
      <x:c r="N6" s="2"/>
      <x:c r="O6" s="10" t="str">
        <x:v>来源链接与核价日期</x:v>
      </x:c>
    </x:row>
    <x:row r="7" ht="26.399999618530273" hidden="0" customHeight="1">
      <x:c r="A7" s="12" t="str">
        <x:v>P01</x:v>
      </x:c>
      <x:c r="B7" s="12" t="str">
        <x:v>前期与验收</x:v>
      </x:c>
      <x:c r="C7" s="12" t="str">
        <x:v>现场复测与尺寸底图</x:v>
      </x:c>
      <x:c r="D7" s="12" t="str">
        <x:v>按复测深化清单报价</x:v>
      </x:c>
      <x:c r="E7" s="18" t="n">
        <x:v>1</x:v>
      </x:c>
      <x:c r="F7" s="13" t="str">
        <x:v>项</x:v>
      </x:c>
      <x:c r="G7" s="20" t="n">
        <x:v>5000</x:v>
      </x:c>
      <x:c r="H7" s="20"/>
      <x:c r="I7" s="22" t="n">
        <x:v>1</x:v>
      </x:c>
      <x:c r="J7" s="23" t="n">
        <x:f>IF(ISBLANK(H7),G7,H7)</x:f>
        <x:v>5000</x:v>
      </x:c>
      <x:c r="K7" s="23" t="n">
        <x:f>E7*J7*I7</x:f>
        <x:v>5000</x:v>
      </x:c>
      <x:c r="L7" s="12" t="str">
        <x:v>预算估算，非施工队报价</x:v>
      </x:c>
      <x:c r="M7" s="12" t="str">
        <x:v>全屋 工程量与做法待现场复测
三层、南院、露台及门窗高差复测；不含破损检测</x:v>
      </x:c>
      <x:c r="N7" s="12"/>
      <x:c r="O7" s="12" t="str">
        <x:v>预算假设：2026-09-10，待实际询价</x:v>
      </x:c>
    </x:row>
    <x:row r="8" ht="26.399999618530273" hidden="0" customHeight="1">
      <x:c r="A8" s="24" t="str">
        <x:v>P02</x:v>
      </x:c>
      <x:c r="B8" s="24" t="str">
        <x:v>前期与验收</x:v>
      </x:c>
      <x:c r="C8" s="24" t="str">
        <x:v>建筑与机电施工图深化</x:v>
      </x:c>
      <x:c r="D8" s="24" t="str">
        <x:v>按复测深化清单报价</x:v>
      </x:c>
      <x:c r="E8" s="18" t="n">
        <x:v>1</x:v>
      </x:c>
      <x:c r="F8" s="13" t="str">
        <x:v>项</x:v>
      </x:c>
      <x:c r="G8" s="20" t="n">
        <x:v>20000</x:v>
      </x:c>
      <x:c r="H8" s="20"/>
      <x:c r="I8" s="22" t="n">
        <x:v>1</x:v>
      </x:c>
      <x:c r="J8" s="23" t="n">
        <x:f>IF(ISBLANK(H8),G8,H8)</x:f>
        <x:v>20000</x:v>
      </x:c>
      <x:c r="K8" s="23" t="n">
        <x:f>E8*J8*I8</x:f>
        <x:v>20000</x:v>
      </x:c>
      <x:c r="L8" s="12" t="str">
        <x:v>预算估算，非施工队报价</x:v>
      </x:c>
      <x:c r="M8" s="12" t="str">
        <x:v>全屋 不包含行政许可承诺
平面、天花、立面节点、机电协调；价格待设计委托</x:v>
      </x:c>
      <x:c r="N8" s="12"/>
      <x:c r="O8" s="12" t="str">
        <x:v>预算假设：2026-09-10，待实际询价</x:v>
      </x:c>
    </x:row>
    <x:row r="9" ht="26.399999618530273" hidden="0" customHeight="1">
      <x:c r="A9" s="12" t="str">
        <x:v>P03</x:v>
      </x:c>
      <x:c r="B9" s="12" t="str">
        <x:v>前期与验收</x:v>
      </x:c>
      <x:c r="C9" s="12" t="str">
        <x:v>现状结构与改造可行性调查</x:v>
      </x:c>
      <x:c r="D9" s="12" t="str">
        <x:v>按复测深化清单报价</x:v>
      </x:c>
      <x:c r="E9" s="18" t="n">
        <x:v>1</x:v>
      </x:c>
      <x:c r="F9" s="13" t="str">
        <x:v>项</x:v>
      </x:c>
      <x:c r="G9" s="20" t="n">
        <x:v>8000</x:v>
      </x:c>
      <x:c r="H9" s="20"/>
      <x:c r="I9" s="22" t="n">
        <x:v>1</x:v>
      </x:c>
      <x:c r="J9" s="23" t="n">
        <x:f>IF(ISBLANK(H9),G9,H9)</x:f>
        <x:v>8000</x:v>
      </x:c>
      <x:c r="K9" s="23" t="n">
        <x:f>E9*J9*I9</x:f>
        <x:v>8000</x:v>
      </x:c>
      <x:c r="L9" s="12" t="str">
        <x:v>预算估算，非施工队报价</x:v>
      </x:c>
      <x:c r="M9" s="12" t="str">
        <x:v>全屋 检测开凿、加固设计另询；调查不保证撤梯或开井获准
资料调查、现场初查及专业可行性意见暂列</x:v>
      </x:c>
      <x:c r="N9" s="12"/>
      <x:c r="O9" s="12" t="str">
        <x:v>预算假设：2026-09-10，待实际询价</x:v>
      </x:c>
    </x:row>
    <x:row r="10" ht="26.399999618530273" hidden="0" customHeight="1">
      <x:c r="A10" s="24" t="str">
        <x:v>P04</x:v>
      </x:c>
      <x:c r="B10" s="24" t="str">
        <x:v>前期与验收</x:v>
      </x:c>
      <x:c r="C10" s="24" t="str">
        <x:v>分阶段独立验收与移交</x:v>
      </x:c>
      <x:c r="D10" s="24" t="str">
        <x:v>按复测深化清单报价</x:v>
      </x:c>
      <x:c r="E10" s="18" t="n">
        <x:v>1</x:v>
      </x:c>
      <x:c r="F10" s="13" t="str">
        <x:v>项</x:v>
      </x:c>
      <x:c r="G10" s="20" t="n">
        <x:v>6000</x:v>
      </x:c>
      <x:c r="H10" s="20"/>
      <x:c r="I10" s="22" t="n">
        <x:v>1</x:v>
      </x:c>
      <x:c r="J10" s="23" t="n">
        <x:f>IF(ISBLANK(H10),G10,H10)</x:f>
        <x:v>6000</x:v>
      </x:c>
      <x:c r="K10" s="23" t="n">
        <x:f>E10*J10*I10</x:f>
        <x:v>6000</x:v>
      </x:c>
      <x:c r="L10" s="12" t="str">
        <x:v>预算估算，非施工队报价</x:v>
      </x:c>
      <x:c r="M10" s="12" t="str">
        <x:v>全屋 工程量与做法待现场复测
水电、防水、泥木、竣工节点检查及记录；具体次数约定</x:v>
      </x:c>
      <x:c r="N10" s="12"/>
      <x:c r="O10" s="12" t="str">
        <x:v>预算假设：2026-09-10，待实际询价</x:v>
      </x:c>
    </x:row>
    <x:row r="11" ht="26.399999618530273" hidden="0" customHeight="1">
      <x:c r="A11" s="12" t="str">
        <x:v>H01</x:v>
      </x:c>
      <x:c r="B11" s="12" t="str">
        <x:v>室内硬装</x:v>
      </x:c>
      <x:c r="C11" s="12" t="str">
        <x:v>保护、场地管理与垃圾清运</x:v>
      </x:c>
      <x:c r="D11" s="12" t="str">
        <x:v>按复测深化清单报价</x:v>
      </x:c>
      <x:c r="E11" s="18" t="n">
        <x:v>1</x:v>
      </x:c>
      <x:c r="F11" s="13" t="str">
        <x:v>项</x:v>
      </x:c>
      <x:c r="G11" s="20" t="n">
        <x:v>8000</x:v>
      </x:c>
      <x:c r="H11" s="20"/>
      <x:c r="I11" s="22" t="n">
        <x:v>1</x:v>
      </x:c>
      <x:c r="J11" s="23" t="n">
        <x:f>IF(ISBLANK(H11),G11,H11)</x:f>
        <x:v>8000</x:v>
      </x:c>
      <x:c r="K11" s="23" t="n">
        <x:f>E11*J11*I11</x:f>
        <x:v>8000</x:v>
      </x:c>
      <x:c r="L11" s="12" t="str">
        <x:v>预算估算，非施工队报价</x:v>
      </x:c>
      <x:c r="M11" s="12" t="str">
        <x:v>全屋 工程量与做法待现场复测
毛坯交付成品与公共区保护、装袋、合规清运及楼层搬运；无旧装修拆除</x:v>
      </x:c>
      <x:c r="N11" s="12"/>
      <x:c r="O11" s="12" t="str">
        <x:v>预算假设：2026-09-10，待实际询价</x:v>
      </x:c>
    </x:row>
    <x:row r="12" ht="39.599998474121094" hidden="0" customHeight="1">
      <x:c r="A12" s="24" t="str">
        <x:v>H03</x:v>
      </x:c>
      <x:c r="B12" s="24" t="str">
        <x:v>室内硬装</x:v>
      </x:c>
      <x:c r="C12" s="24" t="str">
        <x:v>电气配线、管路与配电整理</x:v>
      </x:c>
      <x:c r="D12" s="24" t="str">
        <x:v>按复测深化清单报价</x:v>
      </x:c>
      <x:c r="E12" s="18" t="n">
        <x:v>216.9</x:v>
      </x:c>
      <x:c r="F12" s="13" t="str">
        <x:v>㎡</x:v>
      </x:c>
      <x:c r="G12" s="20" t="n">
        <x:v>135</x:v>
      </x:c>
      <x:c r="H12" s="20"/>
      <x:c r="I12" s="22" t="n">
        <x:v>1</x:v>
      </x:c>
      <x:c r="J12" s="23" t="n">
        <x:f>IF(ISBLANK(H12),G12,H12)</x:f>
        <x:v>135</x:v>
      </x:c>
      <x:c r="K12" s="23" t="n">
        <x:f>E12*J12*I12</x:f>
        <x:v>29281.5</x:v>
      </x:c>
      <x:c r="L12" s="12" t="str">
        <x:v>预算估算，非施工队报价</x:v>
      </x:c>
      <x:c r="M12" s="12" t="str">
        <x:v>全屋 不是62个展示点位的固定点工单价；线路长度与回路待设计
室内基础布线、管材、施工、配电箱/保护器暂列；末端灯具面板另项；包含三层基本网线与有线回程预埋管线，路由交换设备另列</x:v>
      </x:c>
      <x:c r="N12" s="12"/>
      <x:c r="O12" s="12" t="str">
        <x:v>预算假设：2026-09-10，待实际询价</x:v>
      </x:c>
    </x:row>
    <x:row r="13" ht="26.399999618530273" hidden="0" customHeight="1">
      <x:c r="A13" s="12" t="str">
        <x:v>H04</x:v>
      </x:c>
      <x:c r="B13" s="12" t="str">
        <x:v>室内硬装</x:v>
      </x:c>
      <x:c r="C13" s="12" t="str">
        <x:v>五卫一厨给排水改造</x:v>
      </x:c>
      <x:c r="D13" s="12" t="str">
        <x:v>按复测深化清单报价</x:v>
      </x:c>
      <x:c r="E13" s="18" t="n">
        <x:v>6</x:v>
      </x:c>
      <x:c r="F13" s="13" t="str">
        <x:v>区域</x:v>
      </x:c>
      <x:c r="G13" s="20" t="n">
        <x:v>2900</x:v>
      </x:c>
      <x:c r="H13" s="20"/>
      <x:c r="I13" s="22" t="n">
        <x:v>1</x:v>
      </x:c>
      <x:c r="J13" s="23" t="n">
        <x:f>IF(ISBLANK(H13),G13,H13)</x:f>
        <x:v>2900</x:v>
      </x:c>
      <x:c r="K13" s="23" t="n">
        <x:f>E13*J13*I13</x:f>
        <x:v>17400</x:v>
      </x:c>
      <x:c r="L13" s="12" t="str">
        <x:v>预算估算，非施工队报价</x:v>
      </x:c>
      <x:c r="M13" s="12" t="str">
        <x:v>全屋 排污立管变动、燃气工程和非湿区改水另核
各原湿区内给排水、阀件及安装，不含洁具与设备</x:v>
      </x:c>
      <x:c r="N13" s="12"/>
      <x:c r="O13" s="12" t="str">
        <x:v>预算假设：2026-09-10，待实际询价</x:v>
      </x:c>
    </x:row>
    <x:row r="14" ht="26.399999618530273" hidden="0" customHeight="1">
      <x:c r="A14" s="24" t="str">
        <x:v>H05</x:v>
      </x:c>
      <x:c r="B14" s="24" t="str">
        <x:v>室内硬装</x:v>
      </x:c>
      <x:c r="C14" s="24" t="str">
        <x:v>基层找平与局部修补</x:v>
      </x:c>
      <x:c r="D14" s="24" t="str">
        <x:v>按复测深化清单报价</x:v>
      </x:c>
      <x:c r="E14" s="18" t="n">
        <x:v>216.9</x:v>
      </x:c>
      <x:c r="F14" s="13" t="str">
        <x:v>㎡</x:v>
      </x:c>
      <x:c r="G14" s="20" t="n">
        <x:v>48</x:v>
      </x:c>
      <x:c r="H14" s="20"/>
      <x:c r="I14" s="22" t="n">
        <x:v>1</x:v>
      </x:c>
      <x:c r="J14" s="23" t="n">
        <x:f>IF(ISBLANK(H14),G14,H14)</x:f>
        <x:v>48</x:v>
      </x:c>
      <x:c r="K14" s="23" t="n">
        <x:f>E14*J14*I14</x:f>
        <x:v>10411.2</x:v>
      </x:c>
      <x:c r="L14" s="12" t="str">
        <x:v>预算估算，非施工队报价</x:v>
      </x:c>
      <x:c r="M14" s="12" t="str">
        <x:v>全屋 工程量与做法待现场复测
一般地面找平材料与人工；不含重载回填及结构层</x:v>
      </x:c>
      <x:c r="N14" s="12"/>
      <x:c r="O14" s="12" t="str">
        <x:v>预算假设：2026-09-10，待实际询价</x:v>
      </x:c>
    </x:row>
    <x:row r="15" ht="26.399999618530273" hidden="0" customHeight="1">
      <x:c r="A15" s="12" t="str">
        <x:v>H06</x:v>
      </x:c>
      <x:c r="B15" s="12" t="str">
        <x:v>室内硬装</x:v>
      </x:c>
      <x:c r="C15" s="12" t="str">
        <x:v>干区木色地板</x:v>
      </x:c>
      <x:c r="D15" s="12" t="str">
        <x:v>按复测深化清单报价</x:v>
      </x:c>
      <x:c r="E15" s="18" t="n">
        <x:v>186.9</x:v>
      </x:c>
      <x:c r="F15" s="13" t="str">
        <x:v>㎡</x:v>
      </x:c>
      <x:c r="G15" s="20" t="n">
        <x:v>230</x:v>
      </x:c>
      <x:c r="H15" s="20"/>
      <x:c r="I15" s="22" t="n">
        <x:v>1</x:v>
      </x:c>
      <x:c r="J15" s="23" t="n">
        <x:f>IF(ISBLANK(H15),G15,H15)</x:f>
        <x:v>230</x:v>
      </x:c>
      <x:c r="K15" s="23" t="n">
        <x:f>E15*J15*I15</x:f>
        <x:v>42987</x:v>
      </x:c>
      <x:c r="L15" s="12" t="str">
        <x:v>预算估算，非施工队报价</x:v>
      </x:c>
      <x:c r="M15" s="12" t="str">
        <x:v>全屋 按净铺面预算，损耗与包装整件另在复尺排版报价
耐磨多层实木复合/同级样板；面层、垫层与安装，踢脚另项</x:v>
      </x:c>
      <x:c r="N15" s="12"/>
      <x:c r="O15" s="12" t="str">
        <x:v>预算假设：2026-09-10，待实际询价</x:v>
      </x:c>
    </x:row>
    <x:row r="16" ht="26.399999618530273" hidden="0" customHeight="1">
      <x:c r="A16" s="24" t="str">
        <x:v>H07</x:v>
      </x:c>
      <x:c r="B16" s="24" t="str">
        <x:v>室内硬装</x:v>
      </x:c>
      <x:c r="C16" s="24" t="str">
        <x:v>厨房卫浴防滑地砖</x:v>
      </x:c>
      <x:c r="D16" s="24" t="str">
        <x:v>按复测深化清单报价</x:v>
      </x:c>
      <x:c r="E16" s="18" t="n">
        <x:v>29.9</x:v>
      </x:c>
      <x:c r="F16" s="13" t="str">
        <x:v>㎡</x:v>
      </x:c>
      <x:c r="G16" s="20" t="n">
        <x:v>250</x:v>
      </x:c>
      <x:c r="H16" s="20"/>
      <x:c r="I16" s="22" t="n">
        <x:v>1</x:v>
      </x:c>
      <x:c r="J16" s="23" t="n">
        <x:f>IF(ISBLANK(H16),G16,H16)</x:f>
        <x:v>250</x:v>
      </x:c>
      <x:c r="K16" s="23" t="n">
        <x:f>E16*J16*I16</x:f>
        <x:v>7475</x:v>
      </x:c>
      <x:c r="L16" s="12" t="str">
        <x:v>预算估算，非施工队报价</x:v>
      </x:c>
      <x:c r="M16" s="12" t="str">
        <x:v>全屋 工程量与做法待现场复测
600模数浅灰或暖灰瓷砖、铺贴辅料与人工</x:v>
      </x:c>
      <x:c r="N16" s="12"/>
      <x:c r="O16" s="12" t="str">
        <x:v>预算假设：2026-09-10，待实际询价</x:v>
      </x:c>
    </x:row>
    <x:row r="17" ht="26.399999618530273" hidden="0" customHeight="1">
      <x:c r="A17" s="12" t="str">
        <x:v>H08</x:v>
      </x:c>
      <x:c r="B17" s="12" t="str">
        <x:v>室内硬装</x:v>
      </x:c>
      <x:c r="C17" s="12" t="str">
        <x:v>厨卫墙砖</x:v>
      </x:c>
      <x:c r="D17" s="12" t="str">
        <x:v>按复测深化清单报价</x:v>
      </x:c>
      <x:c r="E17" s="18" t="n">
        <x:v>125</x:v>
      </x:c>
      <x:c r="F17" s="13" t="str">
        <x:v>㎡</x:v>
      </x:c>
      <x:c r="G17" s="20" t="n">
        <x:v>210</x:v>
      </x:c>
      <x:c r="H17" s="20"/>
      <x:c r="I17" s="22" t="n">
        <x:v>1</x:v>
      </x:c>
      <x:c r="J17" s="23" t="n">
        <x:f>IF(ISBLANK(H17),G17,H17)</x:f>
        <x:v>210</x:v>
      </x:c>
      <x:c r="K17" s="23" t="n">
        <x:f>E17*J17*I17</x:f>
        <x:v>26250</x:v>
      </x:c>
      <x:c r="L17" s="12" t="str">
        <x:v>预算估算，非施工队报价</x:v>
      </x:c>
      <x:c r="M17" s="12" t="str">
        <x:v>全屋 工程量与做法待现场复测
按约125㎡预算，面砖、粘结辅料与铺贴；开口和铺贴高度实量</x:v>
      </x:c>
      <x:c r="N17" s="12"/>
      <x:c r="O17" s="12" t="str">
        <x:v>预算假设：2026-09-10，待实际询价</x:v>
      </x:c>
    </x:row>
    <x:row r="18" ht="26.399999618530273" hidden="0" customHeight="1">
      <x:c r="A18" s="24" t="str">
        <x:v>H09</x:v>
      </x:c>
      <x:c r="B18" s="24" t="str">
        <x:v>室内硬装</x:v>
      </x:c>
      <x:c r="C18" s="24" t="str">
        <x:v>厨卫防水与节点</x:v>
      </x:c>
      <x:c r="D18" s="24" t="str">
        <x:v>按复测深化清单报价</x:v>
      </x:c>
      <x:c r="E18" s="18" t="n">
        <x:v>150</x:v>
      </x:c>
      <x:c r="F18" s="13" t="str">
        <x:v>㎡</x:v>
      </x:c>
      <x:c r="G18" s="20" t="n">
        <x:v>75</x:v>
      </x:c>
      <x:c r="H18" s="20"/>
      <x:c r="I18" s="22" t="n">
        <x:v>1</x:v>
      </x:c>
      <x:c r="J18" s="23" t="n">
        <x:f>IF(ISBLANK(H18),G18,H18)</x:f>
        <x:v>75</x:v>
      </x:c>
      <x:c r="K18" s="23" t="n">
        <x:f>E18*J18*I18</x:f>
        <x:v>11250</x:v>
      </x:c>
      <x:c r="L18" s="12" t="str">
        <x:v>预算估算，非施工队报价</x:v>
      </x:c>
      <x:c r="M18" s="12" t="str">
        <x:v>全屋 工程量与做法待现场复测
墙地展开量暂估，基层节点、防水体系、试验记录；以深化系统报价</x:v>
      </x:c>
      <x:c r="N18" s="12"/>
      <x:c r="O18" s="12" t="str">
        <x:v>预算假设：2026-09-10，待实际询价</x:v>
      </x:c>
    </x:row>
    <x:row r="19" ht="26.399999618530273" hidden="0" customHeight="1">
      <x:c r="A19" s="12" t="str">
        <x:v>H10</x:v>
      </x:c>
      <x:c r="B19" s="12" t="str">
        <x:v>室内硬装</x:v>
      </x:c>
      <x:c r="C19" s="12" t="str">
        <x:v>墙面基层与暖白乳胶漆</x:v>
      </x:c>
      <x:c r="D19" s="12" t="str">
        <x:v>按复测深化清单报价</x:v>
      </x:c>
      <x:c r="E19" s="18" t="n">
        <x:v>430</x:v>
      </x:c>
      <x:c r="F19" s="13" t="str">
        <x:v>㎡</x:v>
      </x:c>
      <x:c r="G19" s="20" t="n">
        <x:v>56</x:v>
      </x:c>
      <x:c r="H19" s="20"/>
      <x:c r="I19" s="22" t="n">
        <x:v>1</x:v>
      </x:c>
      <x:c r="J19" s="23" t="n">
        <x:f>IF(ISBLANK(H19),G19,H19)</x:f>
        <x:v>56</x:v>
      </x:c>
      <x:c r="K19" s="23" t="n">
        <x:f>E19*J19*I19</x:f>
        <x:v>24080</x:v>
      </x:c>
      <x:c r="L19" s="12" t="str">
        <x:v>预算估算，非施工队报价</x:v>
      </x:c>
      <x:c r="M19" s="12" t="str">
        <x:v>全屋 工程量与做法待现场复测
毛坯墙面腻子找平、底漆及暖白面漆工料；不含旧涂层铲除</x:v>
      </x:c>
      <x:c r="N19" s="12"/>
      <x:c r="O19" s="12" t="str">
        <x:v>预算假设：2026-09-10，待实际询价</x:v>
      </x:c>
    </x:row>
    <x:row r="20" ht="26.399999618530273" hidden="0" customHeight="1">
      <x:c r="A20" s="24" t="str">
        <x:v>H11</x:v>
      </x:c>
      <x:c r="B20" s="24" t="str">
        <x:v>室内硬装</x:v>
      </x:c>
      <x:c r="C20" s="24" t="str">
        <x:v>顶面基层与哑光涂饰</x:v>
      </x:c>
      <x:c r="D20" s="24" t="str">
        <x:v>按复测深化清单报价</x:v>
      </x:c>
      <x:c r="E20" s="18" t="n">
        <x:v>186.9</x:v>
      </x:c>
      <x:c r="F20" s="13" t="str">
        <x:v>㎡</x:v>
      </x:c>
      <x:c r="G20" s="20" t="n">
        <x:v>45</x:v>
      </x:c>
      <x:c r="H20" s="20"/>
      <x:c r="I20" s="22" t="n">
        <x:v>1</x:v>
      </x:c>
      <x:c r="J20" s="23" t="n">
        <x:f>IF(ISBLANK(H20),G20,H20)</x:f>
        <x:v>45</x:v>
      </x:c>
      <x:c r="K20" s="23" t="n">
        <x:f>E20*J20*I20</x:f>
        <x:v>8410.5</x:v>
      </x:c>
      <x:c r="L20" s="12" t="str">
        <x:v>预算估算，非施工队报价</x:v>
      </x:c>
      <x:c r="M20" s="12" t="str">
        <x:v>全屋 工程量与做法待现场复测
干区顶面处理与涂饰，包含局部新吊顶表面；不含吊顶龙骨板材</x:v>
      </x:c>
      <x:c r="N20" s="12"/>
      <x:c r="O20" s="12" t="str">
        <x:v>预算假设：2026-09-10，待实际询价</x:v>
      </x:c>
    </x:row>
    <x:row r="21" ht="39.599998474121094" hidden="0" customHeight="1">
      <x:c r="A21" s="12" t="str">
        <x:v>H12</x:v>
      </x:c>
      <x:c r="B21" s="12" t="str">
        <x:v>室内硬装</x:v>
      </x:c>
      <x:c r="C21" s="12" t="str">
        <x:v>局部石膏板吊顶</x:v>
      </x:c>
      <x:c r="D21" s="12" t="str">
        <x:v>按复测深化清单报价</x:v>
      </x:c>
      <x:c r="E21" s="18" t="n">
        <x:v>15</x:v>
      </x:c>
      <x:c r="F21" s="13" t="str">
        <x:v>㎡</x:v>
      </x:c>
      <x:c r="G21" s="20" t="n">
        <x:v>185</x:v>
      </x:c>
      <x:c r="H21" s="20"/>
      <x:c r="I21" s="22" t="n">
        <x:v>1</x:v>
      </x:c>
      <x:c r="J21" s="23" t="n">
        <x:f>IF(ISBLANK(H21),G21,H21)</x:f>
        <x:v>185</x:v>
      </x:c>
      <x:c r="K21" s="23" t="n">
        <x:f>E21*J21*I21</x:f>
        <x:v>2775</x:v>
      </x:c>
      <x:c r="L21" s="12" t="str">
        <x:v>预算估算，非施工队报价</x:v>
      </x:c>
      <x:c r="M21" s="12" t="str">
        <x:v>全屋 工程量与做法待现场复测
仅必要局部管线/窗帘节点的龙骨板材与检修口；采用分体空调，不做全屋造型吊顶</x:v>
      </x:c>
      <x:c r="N21" s="12"/>
      <x:c r="O21" s="12" t="str">
        <x:v>预算假设：2026-09-10，待实际询价</x:v>
      </x:c>
    </x:row>
    <x:row r="22" ht="26.399999618530273" hidden="0" customHeight="1">
      <x:c r="A22" s="24" t="str">
        <x:v>H13</x:v>
      </x:c>
      <x:c r="B22" s="24" t="str">
        <x:v>室内硬装</x:v>
      </x:c>
      <x:c r="C22" s="24" t="str">
        <x:v>厨卫易检修吊顶</x:v>
      </x:c>
      <x:c r="D22" s="24" t="str">
        <x:v>按复测深化清单报价</x:v>
      </x:c>
      <x:c r="E22" s="18" t="n">
        <x:v>29.9</x:v>
      </x:c>
      <x:c r="F22" s="13" t="str">
        <x:v>㎡</x:v>
      </x:c>
      <x:c r="G22" s="20" t="n">
        <x:v>185</x:v>
      </x:c>
      <x:c r="H22" s="20"/>
      <x:c r="I22" s="22" t="n">
        <x:v>1</x:v>
      </x:c>
      <x:c r="J22" s="23" t="n">
        <x:f>IF(ISBLANK(H22),G22,H22)</x:f>
        <x:v>185</x:v>
      </x:c>
      <x:c r="K22" s="23" t="n">
        <x:f>E22*J22*I22</x:f>
        <x:v>5531.5</x:v>
      </x:c>
      <x:c r="L22" s="12" t="str">
        <x:v>预算估算，非施工队报价</x:v>
      </x:c>
      <x:c r="M22" s="12" t="str">
        <x:v>全屋 工程量与做法待现场复测
平整耐潮面层、龙骨与安装；浴霸/排风机另项</x:v>
      </x:c>
      <x:c r="N22" s="12"/>
      <x:c r="O22" s="12" t="str">
        <x:v>预算假设：2026-09-10，待实际询价</x:v>
      </x:c>
    </x:row>
    <x:row r="23" ht="26.399999618530273" hidden="0" customHeight="1">
      <x:c r="A23" s="12" t="str">
        <x:v>H14</x:v>
      </x:c>
      <x:c r="B23" s="12" t="str">
        <x:v>室内硬装</x:v>
      </x:c>
      <x:c r="C23" s="12" t="str">
        <x:v>新增轻隔断及隐私屏基层</x:v>
      </x:c>
      <x:c r="D23" s="12" t="str">
        <x:v>按复测深化清单报价</x:v>
      </x:c>
      <x:c r="E23" s="18" t="n">
        <x:v>20</x:v>
      </x:c>
      <x:c r="F23" s="13" t="str">
        <x:v>㎡</x:v>
      </x:c>
      <x:c r="G23" s="20" t="n">
        <x:v>260</x:v>
      </x:c>
      <x:c r="H23" s="20"/>
      <x:c r="I23" s="22" t="n">
        <x:v>1</x:v>
      </x:c>
      <x:c r="J23" s="23" t="n">
        <x:f>IF(ISBLANK(H23),G23,H23)</x:f>
        <x:v>260</x:v>
      </x:c>
      <x:c r="K23" s="23" t="n">
        <x:f>E23*J23*I23</x:f>
        <x:v>5200</x:v>
      </x:c>
      <x:c r="L23" s="12" t="str">
        <x:v>预算估算，非施工队报价</x:v>
      </x:c>
      <x:c r="M23" s="12" t="str">
        <x:v>全屋 工程量与做法待现场复测
新增非承重干式轻隔断预算量；涂饰已在墙面项，玻璃另项</x:v>
      </x:c>
      <x:c r="N23" s="12"/>
      <x:c r="O23" s="12" t="str">
        <x:v>预算假设：2026-09-10，待实际询价</x:v>
      </x:c>
    </x:row>
    <x:row r="24" ht="26.399999618530273" hidden="0" customHeight="1">
      <x:c r="A24" s="24" t="str">
        <x:v>H15</x:v>
      </x:c>
      <x:c r="B24" s="24" t="str">
        <x:v>室内硬装</x:v>
      </x:c>
      <x:c r="C24" s="24" t="str">
        <x:v>厨房与操盘区玻璃隔断</x:v>
      </x:c>
      <x:c r="D24" s="24" t="str">
        <x:v>按复测深化清单报价</x:v>
      </x:c>
      <x:c r="E24" s="18" t="n">
        <x:v>9</x:v>
      </x:c>
      <x:c r="F24" s="13" t="str">
        <x:v>㎡</x:v>
      </x:c>
      <x:c r="G24" s="20" t="n">
        <x:v>750</x:v>
      </x:c>
      <x:c r="H24" s="20"/>
      <x:c r="I24" s="22" t="n">
        <x:v>1</x:v>
      </x:c>
      <x:c r="J24" s="23" t="n">
        <x:f>IF(ISBLANK(H24),G24,H24)</x:f>
        <x:v>750</x:v>
      </x:c>
      <x:c r="K24" s="23" t="n">
        <x:f>E24*J24*I24</x:f>
        <x:v>6750</x:v>
      </x:c>
      <x:c r="L24" s="12" t="str">
        <x:v>预算估算，非施工队报价</x:v>
      </x:c>
      <x:c r="M24" s="12" t="str">
        <x:v>全屋 原梯改造相关隔断在可实施方案确定后下单
窄边安全玻璃系统、门五金和安装暂列</x:v>
      </x:c>
      <x:c r="N24" s="12"/>
      <x:c r="O24" s="12" t="str">
        <x:v>预算假设：2026-09-10，待实际询价</x:v>
      </x:c>
    </x:row>
    <x:row r="25" ht="39.599998474121094" hidden="0" customHeight="1">
      <x:c r="A25" s="12" t="str">
        <x:v>H16</x:v>
      </x:c>
      <x:c r="B25" s="12" t="str">
        <x:v>室内硬装</x:v>
      </x:c>
      <x:c r="C25" s="12" t="str">
        <x:v>室内门与五金</x:v>
      </x:c>
      <x:c r="D25" s="12" t="str">
        <x:v>按复测深化清单报价</x:v>
      </x:c>
      <x:c r="E25" s="18" t="n">
        <x:v>9</x:v>
      </x:c>
      <x:c r="F25" s="13" t="str">
        <x:v>套</x:v>
      </x:c>
      <x:c r="G25" s="20" t="n">
        <x:v>1800</x:v>
      </x:c>
      <x:c r="H25" s="20"/>
      <x:c r="I25" s="22" t="n">
        <x:v>1</x:v>
      </x:c>
      <x:c r="J25" s="23" t="n">
        <x:f>IF(ISBLANK(H25),G25,H25)</x:f>
        <x:v>1800</x:v>
      </x:c>
      <x:c r="K25" s="23" t="n">
        <x:f>E25*J25*I25</x:f>
        <x:v>16200</x:v>
      </x:c>
      <x:c r="L25" s="12" t="str">
        <x:v>预算估算，非施工队报价</x:v>
      </x:c>
      <x:c r="M25" s="12" t="str">
        <x:v>全屋 门型数量与原门保留状态未定，不能从38洞口推采购量
四卧五卫各一套普通门预算，门套门锁安装包含；开发商已有合格门逐间核减。玻璃隔断门另在H15，不叠加。</x:v>
      </x:c>
      <x:c r="N25" s="12"/>
      <x:c r="O25" s="12" t="str">
        <x:v>预算假设：2026-09-10，待实际询价</x:v>
      </x:c>
    </x:row>
    <x:row r="26" ht="26.399999618530273" hidden="0" customHeight="1">
      <x:c r="A26" s="24" t="str">
        <x:v>H17</x:v>
      </x:c>
      <x:c r="B26" s="24" t="str">
        <x:v>室内硬装</x:v>
      </x:c>
      <x:c r="C26" s="24" t="str">
        <x:v>木色踢脚与收口</x:v>
      </x:c>
      <x:c r="D26" s="24" t="str">
        <x:v>按复测深化清单报价</x:v>
      </x:c>
      <x:c r="E26" s="18" t="n">
        <x:v>150</x:v>
      </x:c>
      <x:c r="F26" s="13" t="str">
        <x:v>m</x:v>
      </x:c>
      <x:c r="G26" s="20" t="n">
        <x:v>38</x:v>
      </x:c>
      <x:c r="H26" s="20"/>
      <x:c r="I26" s="22" t="n">
        <x:v>1</x:v>
      </x:c>
      <x:c r="J26" s="23" t="n">
        <x:f>IF(ISBLANK(H26),G26,H26)</x:f>
        <x:v>38</x:v>
      </x:c>
      <x:c r="K26" s="23" t="n">
        <x:f>E26*J26*I26</x:f>
        <x:v>5700</x:v>
      </x:c>
      <x:c r="L26" s="12" t="str">
        <x:v>预算估算，非施工队报价</x:v>
      </x:c>
      <x:c r="M26" s="12" t="str">
        <x:v>全屋 工程量与做法待现场复测
踢脚、压条、门口与异材收边；复尺计净长度</x:v>
      </x:c>
      <x:c r="N26" s="12"/>
      <x:c r="O26" s="12" t="str">
        <x:v>预算假设：2026-09-10，待实际询价</x:v>
      </x:c>
    </x:row>
    <x:row r="27" ht="26.399999618530273" hidden="0" customHeight="1">
      <x:c r="A27" s="12" t="str">
        <x:v>H19</x:v>
      </x:c>
      <x:c r="B27" s="12" t="str">
        <x:v>室内硬装</x:v>
      </x:c>
      <x:c r="C27" s="12" t="str">
        <x:v>窗帘、纱帘及普通轨道</x:v>
      </x:c>
      <x:c r="D27" s="12" t="str">
        <x:v>按复测深化清单报价</x:v>
      </x:c>
      <x:c r="E27" s="18" t="n">
        <x:v>1</x:v>
      </x:c>
      <x:c r="F27" s="13" t="str">
        <x:v>项</x:v>
      </x:c>
      <x:c r="G27" s="20" t="n">
        <x:v>8500</x:v>
      </x:c>
      <x:c r="H27" s="20"/>
      <x:c r="I27" s="22" t="n">
        <x:v>1</x:v>
      </x:c>
      <x:c r="J27" s="23" t="n">
        <x:f>IF(ISBLANK(H27),G27,H27)</x:f>
        <x:v>8500</x:v>
      </x:c>
      <x:c r="K27" s="23" t="n">
        <x:f>E27*J27*I27</x:f>
        <x:v>8500</x:v>
      </x:c>
      <x:c r="L27" s="12" t="str">
        <x:v>预算估算，非施工队报价</x:v>
      </x:c>
      <x:c r="M27" s="12" t="str">
        <x:v>全屋 工程量与做法待现场复测
纯色成品面料、卧室遮光与普通帘轨；工作区用简单遮阳；不含电动或复杂帘头</x:v>
      </x:c>
      <x:c r="N27" s="12"/>
      <x:c r="O27" s="12" t="str">
        <x:v>预算假设：2026-09-10，待实际询价</x:v>
      </x:c>
    </x:row>
    <x:row r="28" ht="26.399999618530273" hidden="0" customHeight="1">
      <x:c r="A28" s="24" t="str">
        <x:v>H20</x:v>
      </x:c>
      <x:c r="B28" s="24" t="str">
        <x:v>室内硬装</x:v>
      </x:c>
      <x:c r="C28" s="24" t="str">
        <x:v>开关插座与弱电面板</x:v>
      </x:c>
      <x:c r="D28" s="24" t="str">
        <x:v>按复测深化清单报价</x:v>
      </x:c>
      <x:c r="E28" s="18" t="n">
        <x:v>1</x:v>
      </x:c>
      <x:c r="F28" s="13" t="str">
        <x:v>批</x:v>
      </x:c>
      <x:c r="G28" s="20" t="n">
        <x:v>4500</x:v>
      </x:c>
      <x:c r="H28" s="20"/>
      <x:c r="I28" s="22" t="n">
        <x:v>1</x:v>
      </x:c>
      <x:c r="J28" s="23" t="n">
        <x:f>IF(ISBLANK(H28),G28,H28)</x:f>
        <x:v>4500</x:v>
      </x:c>
      <x:c r="K28" s="23" t="n">
        <x:f>E28*J28*I28</x:f>
        <x:v>4500</x:v>
      </x:c>
      <x:c r="L28" s="12" t="str">
        <x:v>预算估算，非施工队报价</x:v>
      </x:c>
      <x:c r="M28" s="12" t="str">
        <x:v>全屋 不是把现62点或15插座示意当作完整采购数量
常规面板约70位的预算占位；最终按电气施工图统计</x:v>
      </x:c>
      <x:c r="N28" s="12"/>
      <x:c r="O28" s="12" t="str">
        <x:v>预算假设：2026-09-10，待实际询价</x:v>
      </x:c>
    </x:row>
    <x:row r="29" ht="26.399999618530273" hidden="0" customHeight="1">
      <x:c r="A29" s="12" t="str">
        <x:v>H21</x:v>
      </x:c>
      <x:c r="B29" s="12" t="str">
        <x:v>室内硬装</x:v>
      </x:c>
      <x:c r="C29" s="12" t="str">
        <x:v>末端灯具洁具安装与调试</x:v>
      </x:c>
      <x:c r="D29" s="12" t="str">
        <x:v>按复测深化清单报价</x:v>
      </x:c>
      <x:c r="E29" s="18" t="n">
        <x:v>1</x:v>
      </x:c>
      <x:c r="F29" s="13" t="str">
        <x:v>项</x:v>
      </x:c>
      <x:c r="G29" s="20" t="n">
        <x:v>5000</x:v>
      </x:c>
      <x:c r="H29" s="20"/>
      <x:c r="I29" s="22" t="n">
        <x:v>1</x:v>
      </x:c>
      <x:c r="J29" s="23" t="n">
        <x:f>IF(ISBLANK(H29),G29,H29)</x:f>
        <x:v>5000</x:v>
      </x:c>
      <x:c r="K29" s="23" t="n">
        <x:f>E29*J29*I29</x:f>
        <x:v>5000</x:v>
      </x:c>
      <x:c r="L29" s="12" t="str">
        <x:v>预算估算，非施工队报价</x:v>
      </x:c>
      <x:c r="M29" s="12" t="str">
        <x:v>全屋 工程量与做法待现场复测
未被商家服务覆盖的末端安装、测试及接口协调暂列；厂家已包含部分必须核减</x:v>
      </x:c>
      <x:c r="N29" s="12"/>
      <x:c r="O29" s="12" t="str">
        <x:v>预算假设：2026-09-10，待实际询价</x:v>
      </x:c>
    </x:row>
    <x:row r="30" ht="26.399999618530273" hidden="0" customHeight="1">
      <x:c r="A30" s="24" t="str">
        <x:v>H22</x:v>
      </x:c>
      <x:c r="B30" s="24" t="str">
        <x:v>室内硬装</x:v>
      </x:c>
      <x:c r="C30" s="24" t="str">
        <x:v>完工精保洁与小修补</x:v>
      </x:c>
      <x:c r="D30" s="24" t="str">
        <x:v>按复测深化清单报价</x:v>
      </x:c>
      <x:c r="E30" s="18" t="n">
        <x:v>1</x:v>
      </x:c>
      <x:c r="F30" s="13" t="str">
        <x:v>项</x:v>
      </x:c>
      <x:c r="G30" s="20" t="n">
        <x:v>5000</x:v>
      </x:c>
      <x:c r="H30" s="20"/>
      <x:c r="I30" s="22" t="n">
        <x:v>1</x:v>
      </x:c>
      <x:c r="J30" s="23" t="n">
        <x:f>IF(ISBLANK(H30),G30,H30)</x:f>
        <x:v>5000</x:v>
      </x:c>
      <x:c r="K30" s="23" t="n">
        <x:f>E30*J30*I30</x:f>
        <x:v>5000</x:v>
      </x:c>
      <x:c r="L30" s="12" t="str">
        <x:v>预算估算，非施工队报价</x:v>
      </x:c>
      <x:c r="M30" s="12" t="str">
        <x:v>全屋 工程量与做法待现场复测
玻璃、柜内、地面、建材残留清理及修补，不替代环境检测</x:v>
      </x:c>
      <x:c r="N30" s="12"/>
      <x:c r="O30" s="12" t="str">
        <x:v>预算假设：2026-09-10，待实际询价</x:v>
      </x:c>
    </x:row>
    <x:row r="31" ht="39.599998474121094" hidden="0" customHeight="1">
      <x:c r="A31" s="12" t="str">
        <x:v>H23</x:v>
      </x:c>
      <x:c r="B31" s="12" t="str">
        <x:v>室内硬装</x:v>
      </x:c>
      <x:c r="C31" s="12" t="str">
        <x:v>厨房地柜与设备柜</x:v>
      </x:c>
      <x:c r="D31" s="12" t="str">
        <x:v>按复测深化清单报价</x:v>
      </x:c>
      <x:c r="E31" s="18" t="n">
        <x:v>4.4</x:v>
      </x:c>
      <x:c r="F31" s="13" t="str">
        <x:v>延米</x:v>
      </x:c>
      <x:c r="G31" s="20" t="n">
        <x:v>1850</x:v>
      </x:c>
      <x:c r="H31" s="20"/>
      <x:c r="I31" s="22" t="n">
        <x:v>1</x:v>
      </x:c>
      <x:c r="J31" s="23" t="n">
        <x:f>IF(ISBLANK(H31),G31,H31)</x:f>
        <x:v>1850</x:v>
      </x:c>
      <x:c r="K31" s="23" t="n">
        <x:f>E31*J31*I31</x:f>
        <x:v>8140.000000000001</x:v>
      </x:c>
      <x:c r="L31" s="12" t="str">
        <x:v>预算估算，非施工队报价</x:v>
      </x:c>
      <x:c r="M31" s="12" t="str">
        <x:v>全屋 先按600mm洗碗机、595mm冰箱重排柜格，预留安装净孔与开门散热
浅米白平板柜门、耐潮柜体及基本铰链；按L形外边长度占位计价，转角不得重复收费</x:v>
      </x:c>
      <x:c r="N31" s="12"/>
      <x:c r="O31" s="12" t="str">
        <x:v>预算假设：2026-09-10，待实际询价</x:v>
      </x:c>
    </x:row>
    <x:row r="32" ht="26.399999618530273" hidden="0" customHeight="1">
      <x:c r="A32" s="24" t="str">
        <x:v>H24</x:v>
      </x:c>
      <x:c r="B32" s="24" t="str">
        <x:v>室内硬装</x:v>
      </x:c>
      <x:c r="C32" s="24" t="str">
        <x:v>厨房吊柜</x:v>
      </x:c>
      <x:c r="D32" s="24" t="str">
        <x:v>按复测深化清单报价</x:v>
      </x:c>
      <x:c r="E32" s="18" t="n">
        <x:v>2.2</x:v>
      </x:c>
      <x:c r="F32" s="13" t="str">
        <x:v>延米</x:v>
      </x:c>
      <x:c r="G32" s="20" t="n">
        <x:v>1150</x:v>
      </x:c>
      <x:c r="H32" s="20"/>
      <x:c r="I32" s="22" t="n">
        <x:v>1</x:v>
      </x:c>
      <x:c r="J32" s="23" t="n">
        <x:f>IF(ISBLANK(H32),G32,H32)</x:f>
        <x:v>1150</x:v>
      </x:c>
      <x:c r="K32" s="23" t="n">
        <x:f>E32*J32*I32</x:f>
        <x:v>2530</x:v>
      </x:c>
      <x:c r="L32" s="12" t="str">
        <x:v>预算估算，非施工队报价</x:v>
      </x:c>
      <x:c r="M32" s="12" t="str">
        <x:v>全屋 工程量与做法待现场复测
平板门柜与安装，不遮原北窗；挂墙基层承载和检修待核</x:v>
      </x:c>
      <x:c r="N32" s="12"/>
      <x:c r="O32" s="12" t="str">
        <x:v>预算假设：2026-09-10，待实际询价</x:v>
      </x:c>
    </x:row>
    <x:row r="33" ht="26.399999618530273" hidden="0" customHeight="1">
      <x:c r="A33" s="12" t="str">
        <x:v>H25</x:v>
      </x:c>
      <x:c r="B33" s="12" t="str">
        <x:v>室内硬装</x:v>
      </x:c>
      <x:c r="C33" s="12" t="str">
        <x:v>厨房石英石台面与收口</x:v>
      </x:c>
      <x:c r="D33" s="12" t="str">
        <x:v>按复测深化清单报价</x:v>
      </x:c>
      <x:c r="E33" s="18" t="n">
        <x:v>4.4</x:v>
      </x:c>
      <x:c r="F33" s="13" t="str">
        <x:v>延米</x:v>
      </x:c>
      <x:c r="G33" s="20" t="n">
        <x:v>900</x:v>
      </x:c>
      <x:c r="H33" s="20"/>
      <x:c r="I33" s="22" t="n">
        <x:v>1</x:v>
      </x:c>
      <x:c r="J33" s="23" t="n">
        <x:f>IF(ISBLANK(H33),G33,H33)</x:f>
        <x:v>900</x:v>
      </x:c>
      <x:c r="K33" s="23" t="n">
        <x:f>E33*J33*I33</x:f>
        <x:v>3960.0000000000005</x:v>
      </x:c>
      <x:c r="L33" s="12" t="str">
        <x:v>预算估算，非施工队报价</x:v>
      </x:c>
      <x:c r="M33" s="12" t="str">
        <x:v>全屋 工程量与做法待现场复测
同级耐污台面、开孔、挡水、转角和安装；实际厚度与支承按供应商深化</x:v>
      </x:c>
      <x:c r="N33" s="12"/>
      <x:c r="O33" s="12" t="str">
        <x:v>预算假设：2026-09-10，待实际询价</x:v>
      </x:c>
    </x:row>
    <x:row r="34" ht="26.399999618530273" hidden="0" customHeight="1">
      <x:c r="A34" s="24" t="str">
        <x:v>H26</x:v>
      </x:c>
      <x:c r="B34" s="24" t="str">
        <x:v>室内硬装</x:v>
      </x:c>
      <x:c r="C34" s="24" t="str">
        <x:v>厨房抽屉、拉篮与非标板件</x:v>
      </x:c>
      <x:c r="D34" s="24" t="str">
        <x:v>按复测深化清单报价</x:v>
      </x:c>
      <x:c r="E34" s="18" t="n">
        <x:v>1</x:v>
      </x:c>
      <x:c r="F34" s="13" t="str">
        <x:v>批</x:v>
      </x:c>
      <x:c r="G34" s="20" t="n">
        <x:v>2800</x:v>
      </x:c>
      <x:c r="H34" s="20"/>
      <x:c r="I34" s="22" t="n">
        <x:v>1</x:v>
      </x:c>
      <x:c r="J34" s="23" t="n">
        <x:f>IF(ISBLANK(H34),G34,H34)</x:f>
        <x:v>2800</x:v>
      </x:c>
      <x:c r="K34" s="23" t="n">
        <x:f>E34*J34*I34</x:f>
        <x:v>2800</x:v>
      </x:c>
      <x:c r="L34" s="12" t="str">
        <x:v>预算估算，非施工队报价</x:v>
      </x:c>
      <x:c r="M34" s="12" t="str">
        <x:v>全屋 工程量与做法待现场复测
设备侧封板、基本抽屉理物五金及调试；水槽龙头和家电在设备表另计</x:v>
      </x:c>
      <x:c r="N34" s="12"/>
      <x:c r="O34" s="12" t="str">
        <x:v>预算假设：2026-09-10，待实际询价</x:v>
      </x:c>
    </x:row>
    <x:row r="35" ht="26.399999618530273" hidden="0" customHeight="1">
      <x:c r="A35" s="12" t="str">
        <x:v>G01</x:v>
      </x:c>
      <x:c r="B35" s="12" t="str">
        <x:v>花园工程</x:v>
      </x:c>
      <x:c r="C35" s="12" t="str">
        <x:v>南院、主南廊、露台铺装</x:v>
      </x:c>
      <x:c r="D35" s="12" t="str">
        <x:v>按复测深化清单报价</x:v>
      </x:c>
      <x:c r="E35" s="18" t="n">
        <x:v>75.985</x:v>
      </x:c>
      <x:c r="F35" s="13" t="str">
        <x:v>㎡</x:v>
      </x:c>
      <x:c r="G35" s="20" t="n">
        <x:v>260</x:v>
      </x:c>
      <x:c r="H35" s="20"/>
      <x:c r="I35" s="22" t="n">
        <x:v>1</x:v>
      </x:c>
      <x:c r="J35" s="23" t="n">
        <x:f>IF(ISBLANK(H35),G35,H35)</x:f>
        <x:v>260</x:v>
      </x:c>
      <x:c r="K35" s="23" t="n">
        <x:f>E35*J35*I35</x:f>
        <x:v>19756.1</x:v>
      </x:c>
      <x:c r="L35" s="12" t="str">
        <x:v>预算估算，非施工队报价</x:v>
      </x:c>
      <x:c r="M35" s="12" t="str">
        <x:v>南院/露台 工程量与做法待现场复测
防滑面砖或经确认轻质面层、辅料、人工；不挖填，不机械扣可移动花箱投影</x:v>
      </x:c>
      <x:c r="N35" s="12"/>
      <x:c r="O35" s="12" t="str">
        <x:v>预算假设：2026-09-10，待实际询价</x:v>
      </x:c>
    </x:row>
    <x:row r="36" ht="66" hidden="0" customHeight="1">
      <x:c r="A36" s="24" t="str">
        <x:v>G02</x:v>
      </x:c>
      <x:c r="B36" s="24" t="str">
        <x:v>花园工程</x:v>
      </x:c>
      <x:c r="C36" s="24" t="str">
        <x:v>既有防水排水检查与局部保护修复</x:v>
      </x:c>
      <x:c r="D36" s="24" t="str">
        <x:v>按复测深化清单报价</x:v>
      </x:c>
      <x:c r="E36" s="18" t="n">
        <x:v>1</x:v>
      </x:c>
      <x:c r="F36" s="13" t="str">
        <x:v>项</x:v>
      </x:c>
      <x:c r="G36" s="20" t="n">
        <x:v>8000</x:v>
      </x:c>
      <x:c r="H36" s="20"/>
      <x:c r="I36" s="22" t="n">
        <x:v>1</x:v>
      </x:c>
      <x:c r="J36" s="23" t="n">
        <x:f>IF(ISBLANK(H36),G36,H36)</x:f>
        <x:v>8000</x:v>
      </x:c>
      <x:c r="K36" s="23" t="n">
        <x:f>E36*J36*I36</x:f>
        <x:v>8000</x:v>
      </x:c>
      <x:c r="L36" s="12" t="str">
        <x:v>预算估算，非施工队报价</x:v>
      </x:c>
      <x:c r="M36" s="12" t="str">
        <x:v>南院/露台 原层不合格先确认开发商修复责任；大面积重做另据正式方案补价，不为省钱直接覆盖缺陷
先验开发商防水、栏墙收口、排水口与坡向，保留合格既有层；计试验、局部节点及保护修复</x:v>
      </x:c>
      <x:c r="N36" s="12"/>
      <x:c r="O36" s="12" t="str">
        <x:v>预算假设：2026-09-10，待实际询价</x:v>
      </x:c>
    </x:row>
    <x:row r="37" ht="39.599998474121094" hidden="0" customHeight="1">
      <x:c r="A37" s="12" t="str">
        <x:v>G03</x:v>
      </x:c>
      <x:c r="B37" s="12" t="str">
        <x:v>花园工程</x:v>
      </x:c>
      <x:c r="C37" s="12" t="str">
        <x:v>轻型模块坡道与两侧扶手</x:v>
      </x:c>
      <x:c r="D37" s="12" t="str">
        <x:v>按复测深化清单报价</x:v>
      </x:c>
      <x:c r="E37" s="18" t="n">
        <x:v>1</x:v>
      </x:c>
      <x:c r="F37" s="13" t="str">
        <x:v>套</x:v>
      </x:c>
      <x:c r="G37" s="20" t="n">
        <x:v>15000</x:v>
      </x:c>
      <x:c r="H37" s="20"/>
      <x:c r="I37" s="22" t="n">
        <x:v>1</x:v>
      </x:c>
      <x:c r="J37" s="23" t="n">
        <x:f>IF(ISBLANK(H37),G37,H37)</x:f>
        <x:v>15000</x:v>
      </x:c>
      <x:c r="K37" s="23" t="n">
        <x:f>E37*J37*I37</x:f>
        <x:v>15000</x:v>
      </x:c>
      <x:c r="L37" s="12" t="str">
        <x:v>预算估算，非施工队报价</x:v>
      </x:c>
      <x:c r="M37" s="12" t="str">
        <x:v>南院/露台 不是加工图；合法性、承托、防滑、平台及1.277m模型净距须专项深化
参考4.2×1.4m几何意向的可拆耐候模块、扶手预算</x:v>
      </x:c>
      <x:c r="N37" s="12"/>
      <x:c r="O37" s="12" t="str">
        <x:v>预算假设：2026-09-10，待实际询价</x:v>
      </x:c>
    </x:row>
    <x:row r="38" ht="26.399999618530273" hidden="0" customHeight="1">
      <x:c r="A38" s="24" t="str">
        <x:v>G04</x:v>
      </x:c>
      <x:c r="B38" s="24" t="str">
        <x:v>花园工程</x:v>
      </x:c>
      <x:c r="C38" s="24" t="str">
        <x:v>南缘临空防护</x:v>
      </x:c>
      <x:c r="D38" s="24" t="str">
        <x:v>按复测深化清单报价</x:v>
      </x:c>
      <x:c r="E38" s="18" t="n">
        <x:v>9.36</x:v>
      </x:c>
      <x:c r="F38" s="13" t="str">
        <x:v>m</x:v>
      </x:c>
      <x:c r="G38" s="20" t="n">
        <x:v>620</x:v>
      </x:c>
      <x:c r="H38" s="20"/>
      <x:c r="I38" s="22" t="n">
        <x:v>1</x:v>
      </x:c>
      <x:c r="J38" s="23" t="n">
        <x:f>IF(ISBLANK(H38),G38,H38)</x:f>
        <x:v>620</x:v>
      </x:c>
      <x:c r="K38" s="23" t="n">
        <x:f>E38*J38*I38</x:f>
        <x:v>5803.2</x:v>
      </x:c>
      <x:c r="L38" s="12" t="str">
        <x:v>预算估算，非施工队报价</x:v>
      </x:c>
      <x:c r="M38" s="12" t="str">
        <x:v>南院/露台 工程量与做法待现场复测
按模型边线暂列金属防护与安装；高度、缝隙、基层须正式设计</x:v>
      </x:c>
      <x:c r="N38" s="12"/>
      <x:c r="O38" s="12" t="str">
        <x:v>预算假设：2026-09-10，待实际询价</x:v>
      </x:c>
    </x:row>
    <x:row r="39" ht="26.399999618530273" hidden="0" customHeight="1">
      <x:c r="A39" s="12" t="str">
        <x:v>G06</x:v>
      </x:c>
      <x:c r="B39" s="12" t="str">
        <x:v>花园工程</x:v>
      </x:c>
      <x:c r="C39" s="12" t="str">
        <x:v>轻型花箱与内胆</x:v>
      </x:c>
      <x:c r="D39" s="12" t="str">
        <x:v>按复测深化清单报价</x:v>
      </x:c>
      <x:c r="E39" s="18" t="n">
        <x:v>4</x:v>
      </x:c>
      <x:c r="F39" s="13" t="str">
        <x:v>组</x:v>
      </x:c>
      <x:c r="G39" s="20" t="n">
        <x:v>650</x:v>
      </x:c>
      <x:c r="H39" s="20"/>
      <x:c r="I39" s="22" t="n">
        <x:v>1</x:v>
      </x:c>
      <x:c r="J39" s="23" t="n">
        <x:f>IF(ISBLANK(H39),G39,H39)</x:f>
        <x:v>650</x:v>
      </x:c>
      <x:c r="K39" s="23" t="n">
        <x:f>E39*J39*I39</x:f>
        <x:v>2600</x:v>
      </x:c>
      <x:c r="L39" s="12" t="str">
        <x:v>预算估算，非施工队报价</x:v>
      </x:c>
      <x:c r="M39" s="12" t="str">
        <x:v>南院/露台 按P02各组规格询价；先核饱水荷载和抗风
首期南院2组、露台2组轻型箱、内胆与保护垫；其余6组延后添置</x:v>
      </x:c>
      <x:c r="N39" s="12"/>
      <x:c r="O39" s="12" t="str">
        <x:v>预算假设：2026-09-10，待实际询价</x:v>
      </x:c>
    </x:row>
    <x:row r="40" ht="26.399999618530273" hidden="0" customHeight="1">
      <x:c r="A40" s="24" t="str">
        <x:v>G07</x:v>
      </x:c>
      <x:c r="B40" s="24" t="str">
        <x:v>花园工程</x:v>
      </x:c>
      <x:c r="C40" s="24" t="str">
        <x:v>植物、基质与初期养护</x:v>
      </x:c>
      <x:c r="D40" s="24" t="str">
        <x:v>按复测深化清单报价</x:v>
      </x:c>
      <x:c r="E40" s="18" t="n">
        <x:v>1</x:v>
      </x:c>
      <x:c r="F40" s="13" t="str">
        <x:v>批</x:v>
      </x:c>
      <x:c r="G40" s="20" t="n">
        <x:v>2000</x:v>
      </x:c>
      <x:c r="H40" s="20"/>
      <x:c r="I40" s="22" t="n">
        <x:v>1</x:v>
      </x:c>
      <x:c r="J40" s="23" t="n">
        <x:f>IF(ISBLANK(H40),G40,H40)</x:f>
        <x:v>2000</x:v>
      </x:c>
      <x:c r="K40" s="23" t="n">
        <x:f>E40*J40*I40</x:f>
        <x:v>2000</x:v>
      </x:c>
      <x:c r="L40" s="12" t="str">
        <x:v>预算估算，非施工队报价</x:v>
      </x:c>
      <x:c r="M40" s="12" t="str">
        <x:v>南院/露台 工程量与做法待现场复测
首期4组花箱的常绿观叶、少量轮换花卉、轻质基质和初期养护</x:v>
      </x:c>
      <x:c r="N40" s="12"/>
      <x:c r="O40" s="12" t="str">
        <x:v>预算假设：2026-09-10，待实际询价</x:v>
      </x:c>
    </x:row>
    <x:row r="41" ht="26.399999618530273" hidden="0" customHeight="1">
      <x:c r="A41" s="12" t="str">
        <x:v>G08</x:v>
      </x:c>
      <x:c r="B41" s="12" t="str">
        <x:v>花园工程</x:v>
      </x:c>
      <x:c r="C41" s="12" t="str">
        <x:v>花园手动灌溉与检修给水点</x:v>
      </x:c>
      <x:c r="D41" s="12" t="str">
        <x:v>按复测深化清单报价</x:v>
      </x:c>
      <x:c r="E41" s="18" t="n">
        <x:v>1</x:v>
      </x:c>
      <x:c r="F41" s="13" t="str">
        <x:v>套</x:v>
      </x:c>
      <x:c r="G41" s="20" t="n">
        <x:v>1500</x:v>
      </x:c>
      <x:c r="H41" s="20"/>
      <x:c r="I41" s="22" t="n">
        <x:v>1</x:v>
      </x:c>
      <x:c r="J41" s="23" t="n">
        <x:f>IF(ISBLANK(H41),G41,H41)</x:f>
        <x:v>1500</x:v>
      </x:c>
      <x:c r="K41" s="23" t="n">
        <x:f>E41*J41*I41</x:f>
        <x:v>1500</x:v>
      </x:c>
      <x:c r="L41" s="12" t="str">
        <x:v>预算估算，非施工队报价</x:v>
      </x:c>
      <x:c r="M41" s="12" t="str">
        <x:v>南院/露台 工程量与做法待现场复测
检修阀、合适软管与人工浇水接点；自动滴灌后添</x:v>
      </x:c>
      <x:c r="N41" s="12"/>
      <x:c r="O41" s="12" t="str">
        <x:v>预算假设：2026-09-10，待实际询价</x:v>
      </x:c>
    </x:row>
    <x:row r="42" ht="26.399999618530273" hidden="0" customHeight="1">
      <x:c r="A42" s="24" t="str">
        <x:v>G09</x:v>
      </x:c>
      <x:c r="B42" s="24" t="str">
        <x:v>花园工程</x:v>
      </x:c>
      <x:c r="C42" s="24" t="str">
        <x:v>室外基础电气配合</x:v>
      </x:c>
      <x:c r="D42" s="24" t="str">
        <x:v>按复测深化清单报价</x:v>
      </x:c>
      <x:c r="E42" s="18" t="n">
        <x:v>1</x:v>
      </x:c>
      <x:c r="F42" s="13" t="str">
        <x:v>项</x:v>
      </x:c>
      <x:c r="G42" s="20" t="n">
        <x:v>2500</x:v>
      </x:c>
      <x:c r="H42" s="20"/>
      <x:c r="I42" s="22" t="n">
        <x:v>1</x:v>
      </x:c>
      <x:c r="J42" s="23" t="n">
        <x:f>IF(ISBLANK(H42),G42,H42)</x:f>
        <x:v>2500</x:v>
      </x:c>
      <x:c r="K42" s="23" t="n">
        <x:f>E42*J42*I42</x:f>
        <x:v>2500</x:v>
      </x:c>
      <x:c r="L42" s="12" t="str">
        <x:v>预算估算，非施工队报价</x:v>
      </x:c>
      <x:c r="M42" s="12" t="str">
        <x:v>南院/露台 不向下沉井、邻地或未知地下管随意接排水
5个灯位的线管、室外保护与接线施工暂列；灯具另列，排水试验修复归G02</x:v>
      </x:c>
      <x:c r="N42" s="12"/>
      <x:c r="O42" s="12" t="str">
        <x:v>预算假设：2026-09-10，待实际询价</x:v>
      </x:c>
    </x:row>
    <x:row r="43" ht="66" hidden="0" customHeight="1">
      <x:c r="A43" s="12" t="str">
        <x:v>E01</x:v>
      </x:c>
      <x:c r="B43" s="12" t="str">
        <x:v>电梯暂列</x:v>
      </x:c>
      <x:c r="C43" s="12" t="str">
        <x:v>三层三站家用电梯系统</x:v>
      </x:c>
      <x:c r="D43" s="12" t="str">
        <x:v>国产厂家三层三站方案，型号待合法性与井道条件确认</x:v>
      </x:c>
      <x:c r="E43" s="18" t="n">
        <x:v>1</x:v>
      </x:c>
      <x:c r="F43" s="13" t="str">
        <x:v>套</x:v>
      </x:c>
      <x:c r="G43" s="20" t="n">
        <x:v>180000</x:v>
      </x:c>
      <x:c r="H43" s="20"/>
      <x:c r="I43" s="22" t="n">
        <x:v>1</x:v>
      </x:c>
      <x:c r="J43" s="23" t="n">
        <x:f>IF(ISBLANK(H43),G43,H43)</x:f>
        <x:v>180000</x:v>
      </x:c>
      <x:c r="K43" s="23" t="n">
        <x:f>E43*J43*I43</x:f>
        <x:v>180000</x:v>
      </x:c>
      <x:c r="L43" s="12" t="str">
        <x:v>采购预算目标，未获厂家报价</x:v>
      </x:c>
      <x:c r="M43" s="12" t="str">
        <x:v>全屋 需至少两家厂家出总行程、机身/孔口、门向、平台、反力和救援方案；现场报价可高于目标，土建仍未计
暂用18万元作为同范围询价控制值，不代表某品牌能成交；设备、井道、运输、安装、税与保养范围须列全</x:v>
      </x:c>
      <x:c r="N43" s="12"/>
      <x:c r="O43" s="12" t="str">
        <x:v>预算假设：2026-09-10，待实际询价</x:v>
      </x:c>
    </x:row>
    <x:row r="44" ht="26.399999618530273" hidden="0" customHeight="1">
      <x:c r="A44" s="24" t="str">
        <x:v>O01</x:v>
      </x:c>
      <x:c r="B44" s="24" t="str">
        <x:v>可选升级</x:v>
      </x:c>
      <x:c r="C44" s="24" t="str">
        <x:v>全屋地暖系统</x:v>
      </x:c>
      <x:c r="D44" s="24" t="str">
        <x:v>按复测深化清单报价</x:v>
      </x:c>
      <x:c r="E44" s="18" t="n">
        <x:v>1</x:v>
      </x:c>
      <x:c r="F44" s="13" t="str">
        <x:v>项</x:v>
      </x:c>
      <x:c r="G44" s="20" t="n">
        <x:v>45000</x:v>
      </x:c>
      <x:c r="H44" s="20"/>
      <x:c r="I44" s="22" t="n">
        <x:v>0</x:v>
      </x:c>
      <x:c r="J44" s="23" t="n">
        <x:f>IF(ISBLANK(H44),G44,H44)</x:f>
        <x:v>45000</x:v>
      </x:c>
      <x:c r="K44" s="23" t="n">
        <x:f>E44*J44*I44</x:f>
        <x:v>0</x:v>
      </x:c>
      <x:c r="L44" s="12" t="str">
        <x:v>预算估算，非施工队报价</x:v>
      </x:c>
      <x:c r="M44" s="12" t="str">
        <x:v>全屋 热源、地坪高度、能耗与荷载先核
仅预算预留，不和基础空调重复计为空调费用</x:v>
      </x:c>
      <x:c r="N44" s="12"/>
      <x:c r="O44" s="12" t="str">
        <x:v>预算假设：2026-09-10，待实际询价</x:v>
      </x:c>
    </x:row>
    <x:row r="45" ht="26.399999618530273" hidden="0" customHeight="1">
      <x:c r="A45" s="12" t="str">
        <x:v>O02</x:v>
      </x:c>
      <x:c r="B45" s="12" t="str">
        <x:v>可选升级</x:v>
      </x:c>
      <x:c r="C45" s="12" t="str">
        <x:v>全屋新风系统</x:v>
      </x:c>
      <x:c r="D45" s="12" t="str">
        <x:v>按复测深化清单报价</x:v>
      </x:c>
      <x:c r="E45" s="18" t="n">
        <x:v>1</x:v>
      </x:c>
      <x:c r="F45" s="13" t="str">
        <x:v>项</x:v>
      </x:c>
      <x:c r="G45" s="20" t="n">
        <x:v>22000</x:v>
      </x:c>
      <x:c r="H45" s="20"/>
      <x:c r="I45" s="22" t="n">
        <x:v>0</x:v>
      </x:c>
      <x:c r="J45" s="23" t="n">
        <x:f>IF(ISBLANK(H45),G45,H45)</x:f>
        <x:v>22000</x:v>
      </x:c>
      <x:c r="K45" s="23" t="n">
        <x:f>E45*J45*I45</x:f>
        <x:v>0</x:v>
      </x:c>
      <x:c r="L45" s="12" t="str">
        <x:v>预算估算，非施工队报价</x:v>
      </x:c>
      <x:c r="M45" s="12" t="str">
        <x:v>全屋 不将普通排风扇当全屋新风
仅预算预留；管路、主机、风量与检修另设计</x:v>
      </x:c>
      <x:c r="N45" s="12"/>
      <x:c r="O45" s="12" t="str">
        <x:v>预算假设：2026-09-10，待实际询价</x:v>
      </x:c>
    </x:row>
    <x:row r="46" ht="26.399999618530273" hidden="0" customHeight="1">
      <x:c r="A46" s="24" t="str">
        <x:v>O03</x:v>
      </x:c>
      <x:c r="B46" s="24" t="str">
        <x:v>可选升级</x:v>
      </x:c>
      <x:c r="C46" s="24" t="str">
        <x:v>全屋软水与前置净水</x:v>
      </x:c>
      <x:c r="D46" s="24" t="str">
        <x:v>按复测深化清单报价</x:v>
      </x:c>
      <x:c r="E46" s="18" t="n">
        <x:v>1</x:v>
      </x:c>
      <x:c r="F46" s="13" t="str">
        <x:v>套</x:v>
      </x:c>
      <x:c r="G46" s="20" t="n">
        <x:v>9000</x:v>
      </x:c>
      <x:c r="H46" s="20"/>
      <x:c r="I46" s="22" t="n">
        <x:v>0</x:v>
      </x:c>
      <x:c r="J46" s="23" t="n">
        <x:f>IF(ISBLANK(H46),G46,H46)</x:f>
        <x:v>9000</x:v>
      </x:c>
      <x:c r="K46" s="23" t="n">
        <x:f>E46*J46*I46</x:f>
        <x:v>0</x:v>
      </x:c>
      <x:c r="L46" s="12" t="str">
        <x:v>预算估算，非施工队报价</x:v>
      </x:c>
      <x:c r="M46" s="12" t="str">
        <x:v>全屋 末端直饮设备如家电表已列，不重复计入
仅预算预留；市政水质、空间和排水确认后选型号</x:v>
      </x:c>
      <x:c r="N46" s="12"/>
      <x:c r="O46" s="12" t="str">
        <x:v>预算假设：2026-09-10，待实际询价</x:v>
      </x:c>
    </x:row>
    <x:row r="47" ht="26.399999618530273" hidden="0" customHeight="1">
      <x:c r="A47" s="12" t="str">
        <x:v>H27</x:v>
      </x:c>
      <x:c r="B47" s="12" t="str">
        <x:v>室内硬装</x:v>
      </x:c>
      <x:c r="C47" s="12" t="str">
        <x:v>入户门锁芯与五金调试</x:v>
      </x:c>
      <x:c r="D47" s="12" t="str">
        <x:v>按复测深化清单报价</x:v>
      </x:c>
      <x:c r="E47" s="18" t="n">
        <x:v>1</x:v>
      </x:c>
      <x:c r="F47" s="13" t="str">
        <x:v>项</x:v>
      </x:c>
      <x:c r="G47" s="20" t="n">
        <x:v>1200</x:v>
      </x:c>
      <x:c r="H47" s="20"/>
      <x:c r="I47" s="22" t="n">
        <x:v>1</x:v>
      </x:c>
      <x:c r="J47" s="23" t="n">
        <x:f>IF(ISBLANK(H47),G47,H47)</x:f>
        <x:v>1200</x:v>
      </x:c>
      <x:c r="K47" s="23" t="n">
        <x:f>E47*J47*I47</x:f>
        <x:v>1200</x:v>
      </x:c>
      <x:c r="L47" s="12" t="str">
        <x:v>预算估算，非施工队报价</x:v>
      </x:c>
      <x:c r="M47" s="12" t="str">
        <x:v>全屋 门体缺陷优先要求交付整改，不预设整门换新
保留开发商合格入户门；按门型做必要调试及锁芯更新</x:v>
      </x:c>
      <x:c r="N47" s="12"/>
      <x:c r="O47" s="12" t="str">
        <x:v>预算假设：2026-09-10，待实际询价</x:v>
      </x:c>
    </x:row>
    <x:row r="48" ht="26.399999618530273" hidden="0" customHeight="1">
      <x:c r="A48" s="24" t="str">
        <x:v>O04</x:v>
      </x:c>
      <x:c r="B48" s="24" t="str">
        <x:v>可选升级</x:v>
      </x:c>
      <x:c r="C48" s="24" t="str">
        <x:v>后续追加轻型花箱</x:v>
      </x:c>
      <x:c r="D48" s="24" t="str">
        <x:v>按复测深化清单报价</x:v>
      </x:c>
      <x:c r="E48" s="18" t="n">
        <x:v>6</x:v>
      </x:c>
      <x:c r="F48" s="13" t="str">
        <x:v>组</x:v>
      </x:c>
      <x:c r="G48" s="20" t="n">
        <x:v>650</x:v>
      </x:c>
      <x:c r="H48" s="20"/>
      <x:c r="I48" s="22" t="n">
        <x:v>0</x:v>
      </x:c>
      <x:c r="J48" s="23" t="n">
        <x:f>IF(ISBLANK(H48),G48,H48)</x:f>
        <x:v>650</x:v>
      </x:c>
      <x:c r="K48" s="23" t="n">
        <x:f>E48*J48*I48</x:f>
        <x:v>0</x:v>
      </x:c>
      <x:c r="L48" s="12" t="str">
        <x:v>预算估算，非施工队报价</x:v>
      </x:c>
      <x:c r="M48" s="12" t="str">
        <x:v>全屋 先核承载、防水和维护条件
P02其余6组花箱及内胆；不含另增植物养护</x:v>
      </x:c>
      <x:c r="N48" s="12"/>
      <x:c r="O48" s="12" t="str">
        <x:v>预算假设：2026-09-10，待实际询价</x:v>
      </x:c>
    </x:row>
    <x:row r="49" ht="26.399999618530273" hidden="0" customHeight="1">
      <x:c r="A49" s="12" t="str">
        <x:v>O05</x:v>
      </x:c>
      <x:c r="B49" s="12" t="str">
        <x:v>可选升级</x:v>
      </x:c>
      <x:c r="C49" s="12" t="str">
        <x:v>后续自动滴灌系统</x:v>
      </x:c>
      <x:c r="D49" s="12" t="str">
        <x:v>按复测深化清单报价</x:v>
      </x:c>
      <x:c r="E49" s="18" t="n">
        <x:v>1</x:v>
      </x:c>
      <x:c r="F49" s="13" t="str">
        <x:v>套</x:v>
      </x:c>
      <x:c r="G49" s="20" t="n">
        <x:v>3000</x:v>
      </x:c>
      <x:c r="H49" s="20"/>
      <x:c r="I49" s="22" t="n">
        <x:v>0</x:v>
      </x:c>
      <x:c r="J49" s="23" t="n">
        <x:f>IF(ISBLANK(H49),G49,H49)</x:f>
        <x:v>3000</x:v>
      </x:c>
      <x:c r="K49" s="23" t="n">
        <x:f>E49*J49*I49</x:f>
        <x:v>0</x:v>
      </x:c>
      <x:c r="L49" s="12" t="str">
        <x:v>预算估算，非施工队报价</x:v>
      </x:c>
      <x:c r="M49" s="12" t="str">
        <x:v>全屋 与G08既有给水接口去重
人工浇水不便时再增加阀控、过滤、防回流与可拆支管</x:v>
      </x:c>
      <x:c r="N49" s="12"/>
      <x:c r="O49" s="12" t="str">
        <x:v>预算假设：2026-09-10，待实际询价</x:v>
      </x:c>
    </x:row>
    <x:row r="50" ht="39.599998474121094" hidden="0" customHeight="1">
      <x:c r="A50" s="24" t="str">
        <x:v>H28</x:v>
      </x:c>
      <x:c r="B50" s="24" t="str">
        <x:v>室内硬装</x:v>
      </x:c>
      <x:c r="C50" s="24" t="str">
        <x:v>淋浴侧屏及主卫干湿分隔</x:v>
      </x:c>
      <x:c r="D50" s="24" t="str">
        <x:v>按复测深化清单报价</x:v>
      </x:c>
      <x:c r="E50" s="18" t="n">
        <x:v>1</x:v>
      </x:c>
      <x:c r="F50" s="13" t="str">
        <x:v>批</x:v>
      </x:c>
      <x:c r="G50" s="20" t="n">
        <x:v>7000</x:v>
      </x:c>
      <x:c r="H50" s="20"/>
      <x:c r="I50" s="22" t="n">
        <x:v>1</x:v>
      </x:c>
      <x:c r="J50" s="23" t="n">
        <x:f>IF(ISBLANK(H50),G50,H50)</x:f>
        <x:v>7000</x:v>
      </x:c>
      <x:c r="K50" s="23" t="n">
        <x:f>E50*J50*I50</x:f>
        <x:v>7000</x:v>
      </x:c>
      <x:c r="L50" s="12" t="str">
        <x:v>预算估算，非施工队报价</x:v>
      </x:c>
      <x:c r="M50" s="12" t="str">
        <x:v>全屋 先核湿区净尺寸、开门与固定基层，按正式节点选玻璃规格
父母/儿童/妹妹三处侧屏各暂1600元，主卫分隔暂2200元；安全玻璃、五金与安装；不是四套封闭淋浴房</x:v>
      </x:c>
      <x:c r="N50" s="12"/>
      <x:c r="O50" s="12" t="str">
        <x:v>预算假设：2026-09-10，待实际询价</x:v>
      </x:c>
    </x:row>
    <x:row r="51" ht="26.399999618530273" hidden="0" customHeight="1">
      <x:c r="A51" s="12" t="str">
        <x:v>H29</x:v>
      </x:c>
      <x:c r="B51" s="12" t="str">
        <x:v>室内硬装</x:v>
      </x:c>
      <x:c r="C51" s="12" t="str">
        <x:v>五卫地漏与常用小五金</x:v>
      </x:c>
      <x:c r="D51" s="12" t="str">
        <x:v>按复测深化清单报价</x:v>
      </x:c>
      <x:c r="E51" s="18" t="n">
        <x:v>5</x:v>
      </x:c>
      <x:c r="F51" s="13" t="str">
        <x:v>区域</x:v>
      </x:c>
      <x:c r="G51" s="20" t="n">
        <x:v>500</x:v>
      </x:c>
      <x:c r="H51" s="20"/>
      <x:c r="I51" s="22" t="n">
        <x:v>1</x:v>
      </x:c>
      <x:c r="J51" s="23" t="n">
        <x:f>IF(ISBLANK(H51),G51,H51)</x:f>
        <x:v>500</x:v>
      </x:c>
      <x:c r="K51" s="23" t="n">
        <x:f>E51*J51*I51</x:f>
        <x:v>2500</x:v>
      </x:c>
      <x:c r="L51" s="12" t="str">
        <x:v>预算估算，非施工队报价</x:v>
      </x:c>
      <x:c r="M51" s="12" t="str">
        <x:v>全屋 实际排水点、地漏防臭型式与防水节点复核，数量按图报价
排水配套地漏、纸架、挂件等基础供装暂列；不含AP表已有龙头和淋浴套组</x:v>
      </x:c>
      <x:c r="N51" s="12"/>
      <x:c r="O51" s="12" t="str">
        <x:v>预算假设：2026-09-10，待实际询价</x:v>
      </x:c>
    </x:row>
    <x:row r="52" ht="39.599998474121094" hidden="0" customHeight="1">
      <x:c r="A52" s="24" t="str">
        <x:v>H30</x:v>
      </x:c>
      <x:c r="B52" s="24" t="str">
        <x:v>室内硬装</x:v>
      </x:c>
      <x:c r="C52" s="24" t="str">
        <x:v>合法洗衣位置的配套接口</x:v>
      </x:c>
      <x:c r="D52" s="24" t="str">
        <x:v>按复测深化清单报价</x:v>
      </x:c>
      <x:c r="E52" s="18" t="n">
        <x:v>1</x:v>
      </x:c>
      <x:c r="F52" s="13" t="str">
        <x:v>项</x:v>
      </x:c>
      <x:c r="G52" s="20" t="n">
        <x:v>4500</x:v>
      </x:c>
      <x:c r="H52" s="20"/>
      <x:c r="I52" s="22" t="n">
        <x:v>1</x:v>
      </x:c>
      <x:c r="J52" s="23" t="n">
        <x:f>IF(ISBLANK(H52),G52,H52)</x:f>
        <x:v>4500</x:v>
      </x:c>
      <x:c r="K52" s="23" t="n">
        <x:f>E52*J52*I52</x:f>
        <x:v>4500</x:v>
      </x:c>
      <x:c r="L52" s="12" t="str">
        <x:v>预算估算，非施工队报价</x:v>
      </x:c>
      <x:c r="M52" s="12" t="str">
        <x:v>全屋 非湿区穿板或结构工程未包含；如原空间无法合法安置须重布置并重新询价
仅原合法可用湿区内给排水、电源、防水收口及安装配合暂列；与H03/H04重叠部分应核减</x:v>
      </x:c>
      <x:c r="N52" s="12"/>
      <x:c r="O52" s="12" t="str">
        <x:v>预算假设：2026-09-10，待实际询价</x:v>
      </x:c>
    </x:row>
    <x:row r="53" ht="39.599998474121094" hidden="0" customHeight="1">
      <x:c r="A53" s="12" t="str">
        <x:v>H31</x:v>
      </x:c>
      <x:c r="B53" s="12" t="str">
        <x:v>室内硬装</x:v>
      </x:c>
      <x:c r="C53" s="12" t="str">
        <x:v>燃气专业接入与管阀服务暂列</x:v>
      </x:c>
      <x:c r="D53" s="12" t="str">
        <x:v>按复测深化清单报价</x:v>
      </x:c>
      <x:c r="E53" s="18" t="n">
        <x:v>1</x:v>
      </x:c>
      <x:c r="F53" s="13" t="str">
        <x:v>项</x:v>
      </x:c>
      <x:c r="G53" s="20" t="n">
        <x:v>3000</x:v>
      </x:c>
      <x:c r="H53" s="20"/>
      <x:c r="I53" s="22" t="n">
        <x:v>1</x:v>
      </x:c>
      <x:c r="J53" s="23" t="n">
        <x:f>IF(ISBLANK(H53),G53,H53)</x:f>
        <x:v>3000</x:v>
      </x:c>
      <x:c r="K53" s="23" t="n">
        <x:f>E53*J53*I53</x:f>
        <x:v>3000</x:v>
      </x:c>
      <x:c r="L53" s="12" t="str">
        <x:v>预算估算，非施工队报价</x:v>
      </x:c>
      <x:c r="M53" s="12" t="str">
        <x:v>全屋 气源、容量、管路和排烟须核；不含燃气入户扩容或公共管网改造
合资格燃气服务方核查灶具和热水器供气、阀管及常规接入；按官方渠道实际报价替换</x:v>
      </x:c>
      <x:c r="N53" s="12"/>
      <x:c r="O53" s="12" t="str">
        <x:v>预算假设：2026-09-10，待实际询价</x:v>
      </x:c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</x:sheetData>
  <x:conditionalFormatting sqref="K7:K53">
    <x:cfRule type="cellIs" dxfId="0" priority="1" operator="lessThan">
      <x:formula>0</x:formula>
    </x:cfRule>
  </x:conditionalFormatting>
  <x:dataValidations count="1">
    <x:dataValidation type="whole" operator="between" sqref="I7:I53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4988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38" hidden="0" customWidth="1"/>
    <x:col min="5" max="5" width="9" hidden="0" customWidth="1"/>
    <x:col min="6" max="6" width="9" hidden="0" customWidth="1"/>
    <x:col min="7" max="7" width="14" hidden="0" customWidth="1"/>
    <x:col min="8" max="8" width="14" hidden="0" customWidth="1"/>
    <x:col min="9" max="9" width="10" hidden="0" customWidth="1"/>
    <x:col min="10" max="10" width="14" hidden="0" customWidth="1"/>
    <x:col min="11" max="11" width="16" hidden="0" customWidth="1"/>
    <x:col min="12" max="12" width="26" hidden="0" customWidth="1"/>
    <x:col min="13" max="13" width="60" hidden="0" customWidth="1"/>
    <x:col min="14" max="14" width="3" hidden="0" customWidth="1"/>
    <x:col min="15" max="15" width="5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第6户 家具与定制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4" t="str">
        <x:v>人民币元。浅黄为可调输入；正式报价留空时采用预算单价，填0表示有效的零报价。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2" t="str">
        <x:v>本表已计金额</x:v>
      </x:c>
      <x:c r="B4" s="2"/>
      <x:c r="C4" s="2"/>
      <x:c r="D4" s="2"/>
      <x:c r="E4" s="2"/>
      <x:c r="F4" s="2"/>
      <x:c r="G4" s="2"/>
      <x:c r="H4" s="2"/>
      <x:c r="I4" s="2"/>
      <x:c r="J4" s="2"/>
      <x:c r="K4" s="6" t="n">
        <x:f>SUM(K7:K53)</x:f>
        <x:v>70632.88</x:v>
      </x:c>
      <x:c r="L4" s="2"/>
      <x:c r="M4" s="2"/>
      <x:c r="N4" s="2"/>
      <x:c r="O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9" t="str">
        <x:v>编号</x:v>
      </x:c>
      <x:c r="B6" s="9" t="str">
        <x:v>类别</x:v>
      </x:c>
      <x:c r="C6" s="9" t="str">
        <x:v>项目</x:v>
      </x:c>
      <x:c r="D6" s="9" t="str">
        <x:v>品牌 / 型号 / 货号</x:v>
      </x:c>
      <x:c r="E6" s="9" t="str">
        <x:v>数量</x:v>
      </x:c>
      <x:c r="F6" s="9" t="str">
        <x:v>单位</x:v>
      </x:c>
      <x:c r="G6" s="9" t="str">
        <x:v>预算单价</x:v>
      </x:c>
      <x:c r="H6" s="9" t="str">
        <x:v>正式报价</x:v>
      </x:c>
      <x:c r="I6" s="9" t="str">
        <x:v>计入1/0</x:v>
      </x:c>
      <x:c r="J6" s="9" t="str">
        <x:v>采用单价</x:v>
      </x:c>
      <x:c r="K6" s="9" t="str">
        <x:v>已计金额</x:v>
      </x:c>
      <x:c r="L6" s="9" t="str">
        <x:v>价格类型</x:v>
      </x:c>
      <x:c r="M6" s="9" t="str">
        <x:v>房间与尺寸条件</x:v>
      </x:c>
      <x:c r="N6" s="2"/>
      <x:c r="O6" s="10" t="str">
        <x:v>来源链接与核价日期</x:v>
      </x:c>
    </x:row>
    <x:row r="7" ht="66" hidden="0" customHeight="1">
      <x:c r="A7" s="12" t="str">
        <x:v>FN-F01</x:v>
      </x:c>
      <x:c r="B7" s="12" t="str">
        <x:v>成品家具</x:v>
      </x:c>
      <x:c r="C7" s="12" t="str">
        <x:v>TARVA 塔瓦 床架 / LURÖY 鲁瑞 150</x:v>
      </x:c>
      <x:c r="D7" s="12" t="str">
        <x:v>IKEA 宜家 TARVA / 091.985.15</x:v>
      </x:c>
      <x:c r="E7" s="18" t="n">
        <x:v>1</x:v>
      </x:c>
      <x:c r="F7" s="13" t="str">
        <x:v>件</x:v>
      </x:c>
      <x:c r="G7" s="20" t="n">
        <x:v>1299</x:v>
      </x:c>
      <x:c r="H7" s="20"/>
      <x:c r="I7" s="22" t="n">
        <x:v>1</x:v>
      </x:c>
      <x:c r="J7" s="23" t="n">
        <x:f>IF(ISBLANK(H7),G7,H7)</x:f>
        <x:v>1299</x:v>
      </x:c>
      <x:c r="K7" s="23" t="n">
        <x:f>E7*J7*I7</x:f>
        <x:v>1299</x:v>
      </x:c>
      <x:c r="L7" s="12" t="str">
        <x:v>大陆官网商品详情页显示价；非锁价合同，不计过期会员/优惠价</x:v>
      </x:c>
      <x:c r="M7" s="12" t="str">
        <x:v>R101 父母卧室 160×209×92 cm；按套装页较大外宽160控制；单床架303.544.67页标158，厂家需书面统一。模型床框160×215，长减6；床垫150×200另列。
150×200床架、鲁瑞床板架、SKORVA床中挺；独立包装；另计：床垫、床品、木材涂装、配送上楼及组装另计</x:v>
      </x:c>
      <x:c r="N7" s="12"/>
      <x:c r="O7" s="12" t="str">
        <x:v>https://www.ikea.cn/cn/zh/p/tarva-ta-wa-chuang-jia-song-mu-lu-rui-s09198515/
核对：2026-09-10</x:v>
      </x:c>
    </x:row>
    <x:row r="8" ht="52.79999923706055" hidden="0" customHeight="1">
      <x:c r="A8" s="24" t="str">
        <x:v>FN-F02</x:v>
      </x:c>
      <x:c r="B8" s="24" t="str">
        <x:v>成品家具</x:v>
      </x:c>
      <x:c r="C8" s="24" t="str">
        <x:v>TARVA 塔瓦 床架 / LURÖY 鲁瑞 180</x:v>
      </x:c>
      <x:c r="D8" s="24" t="str">
        <x:v>IKEA 宜家 TARVA / 891.985.78</x:v>
      </x:c>
      <x:c r="E8" s="18" t="n">
        <x:v>1</x:v>
      </x:c>
      <x:c r="F8" s="13" t="str">
        <x:v>件</x:v>
      </x:c>
      <x:c r="G8" s="20" t="n">
        <x:v>1499</x:v>
      </x:c>
      <x:c r="H8" s="20"/>
      <x:c r="I8" s="22" t="n">
        <x:v>1</x:v>
      </x:c>
      <x:c r="J8" s="23" t="n">
        <x:f>IF(ISBLANK(H8),G8,H8)</x:f>
        <x:v>1499</x:v>
      </x:c>
      <x:c r="K8" s="23" t="n">
        <x:f>E8*J8*I8</x:f>
        <x:v>1499</x:v>
      </x:c>
      <x:c r="L8" s="12" t="str">
        <x:v>大陆官网商品详情页显示价；非锁价合同，不计过期会员/优惠价</x:v>
      </x:c>
      <x:c r="M8" s="12" t="str">
        <x:v>R201 主卧 188×209×92 cm；模型床框190×215；成品宽减2、长减6。床垫180×200单列。
180×200床架、鲁瑞床板架及SKORVA床中挺；另计：床垫、床品、木材涂装、配送上楼及组装另计</x:v>
      </x:c>
      <x:c r="N8" s="12"/>
      <x:c r="O8" s="12" t="str">
        <x:v>https://www.ikea.cn/cn/zh/p/tarva-ta-wa-chuang-jia-song-mu-lu-rui-89198578/
核对：2026-09-10</x:v>
      </x:c>
    </x:row>
    <x:row r="9" ht="66" hidden="0" customHeight="1">
      <x:c r="A9" s="12" t="str">
        <x:v>FN-F03</x:v>
      </x:c>
      <x:c r="B9" s="12" t="str">
        <x:v>成品家具</x:v>
      </x:c>
      <x:c r="C9" s="12" t="str">
        <x:v>TARVA 塔瓦 床架 / LURÖY 鲁瑞 120</x:v>
      </x:c>
      <x:c r="D9" s="12" t="str">
        <x:v>IKEA 宜家 TARVA / 191.984.78</x:v>
      </x:c>
      <x:c r="E9" s="18" t="n">
        <x:v>1</x:v>
      </x:c>
      <x:c r="F9" s="13" t="str">
        <x:v>件</x:v>
      </x:c>
      <x:c r="G9" s="20" t="n">
        <x:v>999</x:v>
      </x:c>
      <x:c r="H9" s="20"/>
      <x:c r="I9" s="22" t="n">
        <x:v>1</x:v>
      </x:c>
      <x:c r="J9" s="23" t="n">
        <x:f>IF(ISBLANK(H9),G9,H9)</x:f>
        <x:v>999</x:v>
      </x:c>
      <x:c r="K9" s="23" t="n">
        <x:f>E9*J9*I9</x:f>
        <x:v>999</x:v>
      </x:c>
      <x:c r="L9" s="12" t="str">
        <x:v>大陆官网商品详情页显示价；非锁价合同，不计过期会员/优惠价</x:v>
      </x:c>
      <x:c r="M9" s="12" t="str">
        <x:v>R301 妹妹卧室 128×209×92 cm；妹妹模型床框145×215；成品128×209可减占地，床垫由意向135改120。若坚持135，另做总外宽不大于145的定制床并重新复核；不能直接替换150床。
120×200床架及鲁瑞床板架；另计：床垫、床品、木材涂装、配送上楼及组装另计</x:v>
      </x:c>
      <x:c r="N9" s="12"/>
      <x:c r="O9" s="12" t="str">
        <x:v>https://www.ikea.cn/cn/zh/p/tarva-ta-wa-chuang-jia-song-mu-lu-rui-19198478/
核对：2026-09-10</x:v>
      </x:c>
    </x:row>
    <x:row r="10" ht="52.79999923706055" hidden="0" customHeight="1">
      <x:c r="A10" s="24" t="str">
        <x:v>FN-F05</x:v>
      </x:c>
      <x:c r="B10" s="24" t="str">
        <x:v>成品家具</x:v>
      </x:c>
      <x:c r="C10" s="24" t="str">
        <x:v>VALEVÅG 瓦勒沃格 袋装弹簧床垫 150</x:v>
      </x:c>
      <x:c r="D10" s="24" t="str">
        <x:v>IKEA 宜家 VALEVÅG / 304.506.71</x:v>
      </x:c>
      <x:c r="E10" s="18" t="n">
        <x:v>1</x:v>
      </x:c>
      <x:c r="F10" s="13" t="str">
        <x:v>件</x:v>
      </x:c>
      <x:c r="G10" s="20" t="n">
        <x:v>1799</x:v>
      </x:c>
      <x:c r="H10" s="20"/>
      <x:c r="I10" s="22" t="n">
        <x:v>1</x:v>
      </x:c>
      <x:c r="J10" s="23" t="n">
        <x:f>IF(ISBLANK(H10),G10,H10)</x:f>
        <x:v>1799</x:v>
      </x:c>
      <x:c r="K10" s="23" t="n">
        <x:f>E10*J10*I10</x:f>
        <x:v>1799</x:v>
      </x:c>
      <x:c r="L10" s="12" t="str">
        <x:v>大陆官网商品详情页显示价；非锁价合同，不计过期会员/优惠价</x:v>
      </x:c>
      <x:c r="M10" s="12" t="str">
        <x:v>R101 父母卧室 150×200×24 cm；匹配F01的床垫尺寸；硬度为商品标签，父母须共同试躺，不按年龄推断必须睡最硬。
单张床垫；另计：床架、床板、床褥、保护垫、床品及配送另计</x:v>
      </x:c>
      <x:c r="N10" s="12"/>
      <x:c r="O10" s="12" t="str">
        <x:v>https://www.ikea.cn/cn/zh/p/valevag-wa-le-wo-ge-dai-zhuang-dan-huang-chuang-dian-ying-xing-qian-lan-se-30450671/
核对：2026-09-10</x:v>
      </x:c>
    </x:row>
    <x:row r="11" ht="39.599998474121094" hidden="0" customHeight="1">
      <x:c r="A11" s="12" t="str">
        <x:v>FN-F06</x:v>
      </x:c>
      <x:c r="B11" s="12" t="str">
        <x:v>成品家具</x:v>
      </x:c>
      <x:c r="C11" s="12" t="str">
        <x:v>VALEVÅG 瓦勒沃格 袋装弹簧床垫 180</x:v>
      </x:c>
      <x:c r="D11" s="12" t="str">
        <x:v>IKEA 宜家 VALEVÅG / 804.700.06</x:v>
      </x:c>
      <x:c r="E11" s="18" t="n">
        <x:v>1</x:v>
      </x:c>
      <x:c r="F11" s="13" t="str">
        <x:v>件</x:v>
      </x:c>
      <x:c r="G11" s="20" t="n">
        <x:v>2299</x:v>
      </x:c>
      <x:c r="H11" s="20"/>
      <x:c r="I11" s="22" t="n">
        <x:v>1</x:v>
      </x:c>
      <x:c r="J11" s="23" t="n">
        <x:f>IF(ISBLANK(H11),G11,H11)</x:f>
        <x:v>2299</x:v>
      </x:c>
      <x:c r="K11" s="23" t="n">
        <x:f>E11*J11*I11</x:f>
        <x:v>2299</x:v>
      </x:c>
      <x:c r="L11" s="12" t="str">
        <x:v>大陆官网商品详情页显示价；非锁价合同，不计过期会员/优惠价</x:v>
      </x:c>
      <x:c r="M11" s="12" t="str">
        <x:v>R201 主卧 180×200×24 cm；匹配F02；夫妻应共同试躺确认硬度、翻身干扰及床沿坐感。
单张床垫；另计：床架、床板、床褥、保护垫、床品及配送另计</x:v>
      </x:c>
      <x:c r="N11" s="12"/>
      <x:c r="O11" s="12" t="str">
        <x:v>https://www.ikea.cn/cn/zh/p/valevag-wa-le-wo-ge-dai-zhuang-dan-huang-chuang-dian-jia-ying-qian-lan-se-80470006/
核对：2026-09-10</x:v>
      </x:c>
    </x:row>
    <x:row r="12" ht="39.599998474121094" hidden="0" customHeight="1">
      <x:c r="A12" s="24" t="str">
        <x:v>FN-F07</x:v>
      </x:c>
      <x:c r="B12" s="24" t="str">
        <x:v>成品家具</x:v>
      </x:c>
      <x:c r="C12" s="24" t="str">
        <x:v>VALEVÅG 瓦勒沃格 袋装弹簧床垫 120</x:v>
      </x:c>
      <x:c r="D12" s="24" t="str">
        <x:v>IKEA 宜家 VALEVÅG / 004.699.07</x:v>
      </x:c>
      <x:c r="E12" s="18" t="n">
        <x:v>1</x:v>
      </x:c>
      <x:c r="F12" s="13" t="str">
        <x:v>件</x:v>
      </x:c>
      <x:c r="G12" s="20" t="n">
        <x:v>1499</x:v>
      </x:c>
      <x:c r="H12" s="20"/>
      <x:c r="I12" s="22" t="n">
        <x:v>1</x:v>
      </x:c>
      <x:c r="J12" s="23" t="n">
        <x:f>IF(ISBLANK(H12),G12,H12)</x:f>
        <x:v>1499</x:v>
      </x:c>
      <x:c r="K12" s="23" t="n">
        <x:f>E12*J12*I12</x:f>
        <x:v>1499</x:v>
      </x:c>
      <x:c r="L12" s="12" t="str">
        <x:v>大陆官网商品详情页显示价；非锁价合同，不计过期会员/优惠价</x:v>
      </x:c>
      <x:c r="M12" s="12" t="str">
        <x:v>R301 妹妹卧室 120×200×24 cm；匹配F03，不能将120床垫作为135床垫采购；试躺后可同尺寸换硬度货号。
单张床垫；另计：床架、床板、床褥、保护垫、床品及配送另计</x:v>
      </x:c>
      <x:c r="N12" s="12"/>
      <x:c r="O12" s="12" t="str">
        <x:v>https://www.ikea.cn/cn/zh/p/valevag-wa-le-wo-ge-dai-zhuang-dan-huang-chuang-dian-jia-ying-qian-lan-se-00469907/
核对：2026-09-10</x:v>
      </x:c>
    </x:row>
    <x:row r="13" ht="52.79999923706055" hidden="0" customHeight="1">
      <x:c r="A13" s="12" t="str">
        <x:v>FN-F09</x:v>
      </x:c>
      <x:c r="B13" s="12" t="str">
        <x:v>成品家具</x:v>
      </x:c>
      <x:c r="C13" s="12" t="str">
        <x:v>TONSTAD 图恩斯塔 床头桌</x:v>
      </x:c>
      <x:c r="D13" s="12" t="str">
        <x:v>IKEA 宜家 TONSTAD / 605.100.08</x:v>
      </x:c>
      <x:c r="E13" s="18" t="n">
        <x:v>5</x:v>
      </x:c>
      <x:c r="F13" s="13" t="str">
        <x:v>件</x:v>
      </x:c>
      <x:c r="G13" s="20" t="n">
        <x:v>599</x:v>
      </x:c>
      <x:c r="H13" s="20"/>
      <x:c r="I13" s="22" t="n">
        <x:v>1</x:v>
      </x:c>
      <x:c r="J13" s="23" t="n">
        <x:f>IF(ISBLANK(H13),G13,H13)</x:f>
        <x:v>599</x:v>
      </x:c>
      <x:c r="K13" s="23" t="n">
        <x:f>E13*J13*I13</x:f>
        <x:v>2995</x:v>
      </x:c>
      <x:c r="L13" s="12" t="str">
        <x:v>大陆官网商品详情页显示价；非锁价合同，不计过期会员/优惠价</x:v>
      </x:c>
      <x:c r="M13" s="12" t="str">
        <x:v>R101 父母卧室×2、R201 主卧×2、R301 妹妹卧室 40×40×59 cm；父母模型48×48，夫妻/妹妹需按床位现场纸样；59高需与最终床面高度试取物，插座不能被柜挡。
床头桌及抽屉；另计：配送、上楼、组装和额外墙体固定件另核</x:v>
      </x:c>
      <x:c r="N13" s="12"/>
      <x:c r="O13" s="12" t="str">
        <x:v>https://www.ikea.cn/cn/zh/p/tonstad-tu-en-si-ta-chuang-tou-zhuo-hui-bai-60510008/
核对：2026-09-10</x:v>
      </x:c>
    </x:row>
    <x:row r="14" ht="66" hidden="0" customHeight="1">
      <x:c r="A14" s="24" t="str">
        <x:v>FN-F10</x:v>
      </x:c>
      <x:c r="B14" s="24" t="str">
        <x:v>成品家具</x:v>
      </x:c>
      <x:c r="C14" s="24" t="str">
        <x:v>VIMLE 维姆勒 三人沙发</x:v>
      </x:c>
      <x:c r="D14" s="24" t="str">
        <x:v>IKEA 宜家 VIMLE / 393.990.32</x:v>
      </x:c>
      <x:c r="E14" s="18" t="n">
        <x:v>1</x:v>
      </x:c>
      <x:c r="F14" s="13" t="str">
        <x:v>件</x:v>
      </x:c>
      <x:c r="G14" s="20" t="n">
        <x:v>2999</x:v>
      </x:c>
      <x:c r="H14" s="20"/>
      <x:c r="I14" s="22" t="n">
        <x:v>1</x:v>
      </x:c>
      <x:c r="J14" s="23" t="n">
        <x:f>IF(ISBLANK(H14),G14,H14)</x:f>
        <x:v>2999</x:v>
      </x:c>
      <x:c r="K14" s="23" t="n">
        <x:f>E14*J14*I14</x:f>
        <x:v>2999</x:v>
      </x:c>
      <x:c r="L14" s="12" t="str">
        <x:v>大陆官网商品详情页显示价；非锁价合同，不计过期会员/优惠价</x:v>
      </x:c>
      <x:c r="M14" s="12" t="str">
        <x:v>R104 客厅 241×98×83 cm；模型265×约92；成品较短24、深增加约6。维持朝东并复核沙发前通道；须以整体98深纸样复核，当前漫游并未替换为该SKU。
三人框架、两扶手、相应米色可拆洗罩套及坐靠垫；非仅罩套；另计：头枕、脚凳、装饰靠枕、配送组装另计</x:v>
      </x:c>
      <x:c r="N14" s="12"/>
      <x:c r="O14" s="12" t="str">
        <x:v>https://www.ikea.cn/cn/zh/p/vimle-wei-mu-le-san-ren-sha-fa-gang-na-rui-de-mi-huang-se-s39399032/
核对：2026-09-10</x:v>
      </x:c>
    </x:row>
    <x:row r="15" ht="52.79999923706055" hidden="0" customHeight="1">
      <x:c r="A15" s="12" t="str">
        <x:v>FN-F11</x:v>
      </x:c>
      <x:c r="B15" s="12" t="str">
        <x:v>成品家具</x:v>
      </x:c>
      <x:c r="C15" s="12" t="str">
        <x:v>LISABO 利萨伯 茶几</x:v>
      </x:c>
      <x:c r="D15" s="12" t="str">
        <x:v>IKEA 宜家 LISABO / 103.530.63</x:v>
      </x:c>
      <x:c r="E15" s="18" t="n">
        <x:v>1</x:v>
      </x:c>
      <x:c r="F15" s="13" t="str">
        <x:v>件</x:v>
      </x:c>
      <x:c r="G15" s="20" t="n">
        <x:v>799</x:v>
      </x:c>
      <x:c r="H15" s="20"/>
      <x:c r="I15" s="22" t="n">
        <x:v>1</x:v>
      </x:c>
      <x:c r="J15" s="23" t="n">
        <x:f>IF(ISBLANK(H15),G15,H15)</x:f>
        <x:v>799</x:v>
      </x:c>
      <x:c r="K15" s="23" t="n">
        <x:f>E15*J15*I15</x:f>
        <x:v>799</x:v>
      </x:c>
      <x:c r="L15" s="12" t="str">
        <x:v>大陆官网商品详情页显示价；非锁价合同，不计过期会员/优惠价</x:v>
      </x:c>
      <x:c r="M15" s="12" t="str">
        <x:v>R104 客厅 118×50×50 cm；模型约120×70，平面占地减小；台高由展示意向约39升至50，配48高沙发座，宜现场试坐取物。
茶几；另计：配送、上楼、组装和额外墙体固定件另核</x:v>
      </x:c>
      <x:c r="N15" s="12"/>
      <x:c r="O15" s="12" t="str">
        <x:v>https://www.ikea.cn/cn/zh/p/lisabo-li-sa-bo-cha-ji-bai-zha-mu-tie-mian-10353063/
核对：2026-09-10</x:v>
      </x:c>
    </x:row>
    <x:row r="16" ht="52.79999923706055" hidden="0" customHeight="1">
      <x:c r="A16" s="24" t="str">
        <x:v>FN-F12</x:v>
      </x:c>
      <x:c r="B16" s="24" t="str">
        <x:v>成品家具</x:v>
      </x:c>
      <x:c r="C16" s="24" t="str">
        <x:v>BRIMNES 百灵 电视柜</x:v>
      </x:c>
      <x:c r="D16" s="24" t="str">
        <x:v>IKEA 宜家 BRIMNES / 504.098.93</x:v>
      </x:c>
      <x:c r="E16" s="18" t="n">
        <x:v>1</x:v>
      </x:c>
      <x:c r="F16" s="13" t="str">
        <x:v>件</x:v>
      </x:c>
      <x:c r="G16" s="20" t="n">
        <x:v>799</x:v>
      </x:c>
      <x:c r="H16" s="20"/>
      <x:c r="I16" s="22" t="n">
        <x:v>1</x:v>
      </x:c>
      <x:c r="J16" s="23" t="n">
        <x:f>IF(ISBLANK(H16),G16,H16)</x:f>
        <x:v>799</x:v>
      </x:c>
      <x:c r="K16" s="23" t="n">
        <x:f>E16*J16*I16</x:f>
        <x:v>799</x:v>
      </x:c>
      <x:c r="L16" s="12" t="str">
        <x:v>大陆官网商品详情页显示价；非锁价合同，不计过期会员/优惠价</x:v>
      </x:c>
      <x:c r="M16" s="12" t="str">
        <x:v>R104 客厅 180×41×53 cm；模型230×40×48；长缩50、深增1、高增5。沿东墙保留原室外门；电视型号/脚座跨度和重量另核；网页柜顶承重30kg。
电视柜及抽屉；另计：电视、支架、设备、墙体固定件及配送组装另计</x:v>
      </x:c>
      <x:c r="N16" s="12"/>
      <x:c r="O16" s="12" t="str">
        <x:v>https://www.ikea.cn/cn/zh/p/brimnes-bai-ling-dian-shi-gui-bai-se-50409893/
核对：2026-09-10</x:v>
      </x:c>
    </x:row>
    <x:row r="17" ht="66" hidden="0" customHeight="1">
      <x:c r="A17" s="12" t="str">
        <x:v>FN-F13</x:v>
      </x:c>
      <x:c r="B17" s="12" t="str">
        <x:v>成品家具</x:v>
      </x:c>
      <x:c r="C17" s="12" t="str">
        <x:v>EKEDALEN 伊克多兰 伸缩型餐桌</x:v>
      </x:c>
      <x:c r="D17" s="12" t="str">
        <x:v>IKEA 宜家 EKEDALEN / 503.408.13</x:v>
      </x:c>
      <x:c r="E17" s="18" t="n">
        <x:v>1</x:v>
      </x:c>
      <x:c r="F17" s="13" t="str">
        <x:v>件</x:v>
      </x:c>
      <x:c r="G17" s="20" t="n">
        <x:v>1999</x:v>
      </x:c>
      <x:c r="H17" s="20"/>
      <x:c r="I17" s="22" t="n">
        <x:v>1</x:v>
      </x:c>
      <x:c r="J17" s="23" t="n">
        <x:f>IF(ISBLANK(H17),G17,H17)</x:f>
        <x:v>1999</x:v>
      </x:c>
      <x:c r="K17" s="23" t="n">
        <x:f>E17*J17*I17</x:f>
        <x:v>1999</x:v>
      </x:c>
      <x:c r="L17" s="12" t="str">
        <x:v>大陆官网商品详情页显示价；非锁价合同，不计过期会员/优惠价</x:v>
      </x:c>
      <x:c r="M17" s="12" t="str">
        <x:v>R105 餐厅 180×80×75 cm；收拢120×80、展开180×80；按6人展开180计，占地小于模型180×85。六椅采用两侧各2、两端各1，拉椅后核电梯/厨房通路。不要照搬模型同侧3把椅子的摆法。
伸缩桌及1块加长板；另计：餐椅、保护脚垫及配送组装另计</x:v>
      </x:c>
      <x:c r="N17" s="12"/>
      <x:c r="O17" s="12" t="str">
        <x:v>https://www.ikea.cn/cn/zh/p/ekedalen-yi-ke-duo-lan-shen-suo-xing-can-zhuo-xiang-mu-50340813/
核对：2026-09-10</x:v>
      </x:c>
    </x:row>
    <x:row r="18" ht="52.79999923706055" hidden="0" customHeight="1">
      <x:c r="A18" s="24" t="str">
        <x:v>FN-F14</x:v>
      </x:c>
      <x:c r="B18" s="24" t="str">
        <x:v>成品家具</x:v>
      </x:c>
      <x:c r="C18" s="24" t="str">
        <x:v>EKEDALEN 伊克多兰 软垫椅</x:v>
      </x:c>
      <x:c r="D18" s="24" t="str">
        <x:v>IKEA 宜家 EKEDALEN / 203.410.22</x:v>
      </x:c>
      <x:c r="E18" s="18" t="n">
        <x:v>7</x:v>
      </x:c>
      <x:c r="F18" s="13" t="str">
        <x:v>件</x:v>
      </x:c>
      <x:c r="G18" s="20" t="n">
        <x:v>499</x:v>
      </x:c>
      <x:c r="H18" s="20"/>
      <x:c r="I18" s="22" t="n">
        <x:v>1</x:v>
      </x:c>
      <x:c r="J18" s="23" t="n">
        <x:f>IF(ISBLANK(H18),G18,H18)</x:f>
        <x:v>499</x:v>
      </x:c>
      <x:c r="K18" s="23" t="n">
        <x:f>E18*J18*I18</x:f>
        <x:v>3493</x:v>
      </x:c>
      <x:c r="L18" s="12" t="str">
        <x:v>大陆官网商品详情页显示价；非锁价合同，不计过期会员/优惠价</x:v>
      </x:c>
      <x:c r="M18" s="12" t="str">
        <x:v>R105 餐厅×6、R303 书法房 45×51×95 cm；座高48。餐厅比模型约47×45深6；布置改2+2+1+1并留后撤。书法椅为坐姿短时使用，站写时移靠墙。
椅架、座垫和所选罩套；另计：额外罩套、地板保护垫及配送组装另计</x:v>
      </x:c>
      <x:c r="N18" s="12"/>
      <x:c r="O18" s="12" t="str">
        <x:v>https://www.ikea.cn/cn/zh/p/ekedalen-yi-ke-duo-lan-yi-zi-xiang-mu-ou-si-ta-dan-hui-se-20341022/
核对：2026-09-10</x:v>
      </x:c>
    </x:row>
    <x:row r="19" ht="66" hidden="0" customHeight="1">
      <x:c r="A19" s="12" t="str">
        <x:v>FN-F15</x:v>
      </x:c>
      <x:c r="B19" s="12" t="str">
        <x:v>成品家具</x:v>
      </x:c>
      <x:c r="C19" s="12" t="str">
        <x:v>MARKUS 马库斯 人体工学办公椅 小号</x:v>
      </x:c>
      <x:c r="D19" s="12" t="str">
        <x:v>IKEA 宜家 MARKUS / 805.887.94</x:v>
      </x:c>
      <x:c r="E19" s="18" t="n">
        <x:v>3</x:v>
      </x:c>
      <x:c r="F19" s="13" t="str">
        <x:v>件</x:v>
      </x:c>
      <x:c r="G19" s="20" t="n">
        <x:v>799</x:v>
      </x:c>
      <x:c r="H19" s="20"/>
      <x:c r="I19" s="22" t="n">
        <x:v>1</x:v>
      </x:c>
      <x:c r="J19" s="23" t="n">
        <x:f>IF(ISBLANK(H19),G19,H19)</x:f>
        <x:v>799</x:v>
      </x:c>
      <x:c r="K19" s="23" t="n">
        <x:f>E19*J19*I19</x:f>
        <x:v>2397</x:v>
      </x:c>
      <x:c r="L19" s="12" t="str">
        <x:v>大陆官网商品详情页显示价；非锁价合同，不计过期会员/优惠价</x:v>
      </x:c>
      <x:c r="M19" s="12" t="str">
        <x:v>R108 爸爸操盘房、R304 妈妈毛线工作室、R301 妹妹卧室 64×64×129 cm；高度118–129、座高43–54、底盘64×64；比模型普通椅大，必须按真实底盘、后仰及退椅走样；先试坐再定大小号。儿童房这把仅为未来客卧/较大儿童预算，不按幼儿适用宣称。
办公椅，含产品配套头枕/扶手；另计：脚踏、地板保护垫及配送组装另计</x:v>
      </x:c>
      <x:c r="N19" s="12"/>
      <x:c r="O19" s="12" t="str">
        <x:v>https://www.ikea.cn/cn/zh/p/markus-ma-ku-si-ban-gong-yi-wei-suo-er-shen-hui-se-80588794/
核对：2026-09-10</x:v>
      </x:c>
    </x:row>
    <x:row r="20" ht="52.79999923706055" hidden="0" customHeight="1">
      <x:c r="A20" s="24" t="str">
        <x:v>FN-F17</x:v>
      </x:c>
      <x:c r="B20" s="24" t="str">
        <x:v>成品家具</x:v>
      </x:c>
      <x:c r="C20" s="24" t="str">
        <x:v>MICKE 米克 书桌 105</x:v>
      </x:c>
      <x:c r="D20" s="24" t="str">
        <x:v>IKEA 宜家 MICKE / 803.542.76</x:v>
      </x:c>
      <x:c r="E20" s="18" t="n">
        <x:v>1</x:v>
      </x:c>
      <x:c r="F20" s="13" t="str">
        <x:v>件</x:v>
      </x:c>
      <x:c r="G20" s="20" t="n">
        <x:v>699</x:v>
      </x:c>
      <x:c r="H20" s="20"/>
      <x:c r="I20" s="22" t="n">
        <x:v>1</x:v>
      </x:c>
      <x:c r="J20" s="23" t="n">
        <x:f>IF(ISBLANK(H20),G20,H20)</x:f>
        <x:v>699</x:v>
      </x:c>
      <x:c r="K20" s="23" t="n">
        <x:f>E20*J20*I20</x:f>
        <x:v>699</x:v>
      </x:c>
      <x:c r="L20" s="12" t="str">
        <x:v>大陆官网商品详情页显示价；非锁价合同，不计过期会员/优惠价</x:v>
      </x:c>
      <x:c r="M20" s="12" t="str">
        <x:v>R301 妹妹卧室 105×50×75 cm；模型108×55，成品105×50；只买75高版本，不能换成带高架的140高套装。抽屉方向与书桌椅退让现场确认。
书桌及抽屉/柜；不带高架；另计：配送、上楼、组装和额外墙体固定件另核</x:v>
      </x:c>
      <x:c r="N20" s="12"/>
      <x:c r="O20" s="12" t="str">
        <x:v>https://www.ikea.cn/cn/zh/p/micke-desk-white-80354276/
核对：2026-09-10</x:v>
      </x:c>
    </x:row>
    <x:row r="21" ht="66" hidden="0" customHeight="1">
      <x:c r="A21" s="12" t="str">
        <x:v>FN-F18</x:v>
      </x:c>
      <x:c r="B21" s="12" t="str">
        <x:v>成品家具</x:v>
      </x:c>
      <x:c r="C21" s="12" t="str">
        <x:v>BILLY 毕利 矮书架</x:v>
      </x:c>
      <x:c r="D21" s="12" t="str">
        <x:v>IKEA 宜家 BILLY / 905.220.38</x:v>
      </x:c>
      <x:c r="E21" s="18" t="n">
        <x:v>5</x:v>
      </x:c>
      <x:c r="F21" s="13" t="str">
        <x:v>件</x:v>
      </x:c>
      <x:c r="G21" s="20" t="n">
        <x:v>199</x:v>
      </x:c>
      <x:c r="H21" s="20"/>
      <x:c r="I21" s="22" t="n">
        <x:v>1</x:v>
      </x:c>
      <x:c r="J21" s="23" t="n">
        <x:f>IF(ISBLANK(H21),G21,H21)</x:f>
        <x:v>199</x:v>
      </x:c>
      <x:c r="K21" s="23" t="n">
        <x:f>E21*J21*I21</x:f>
        <x:v>995</x:v>
      </x:c>
      <x:c r="L21" s="12" t="str">
        <x:v>大陆官网商品详情页显示价；非锁价合同，不计过期会员/优惠价</x:v>
      </x:c>
      <x:c r="M21" s="12" t="str">
        <x:v>R206 二层休闲/家政区×3、R108 爸爸操盘房×2 40×28×106 cm；R206三件并排120×28，低于原155×34×190；R108两件并排80。沿原实墙布置，不能堆叠；降低储书量换取通透和可移动性。
单体书架与配套层板；另计：柜门、额外层板、防倾倒基层固定件、配送组装另计</x:v>
      </x:c>
      <x:c r="N21" s="12"/>
      <x:c r="O21" s="12" t="str">
        <x:v>https://www.ikea.cn/cn/zh/p/billy-bookcase-white-90522038/
核对：2026-09-10</x:v>
      </x:c>
    </x:row>
    <x:row r="22" ht="52.79999923706055" hidden="0" customHeight="1">
      <x:c r="A22" s="24" t="str">
        <x:v>FN-F19</x:v>
      </x:c>
      <x:c r="B22" s="24" t="str">
        <x:v>成品家具</x:v>
      </x:c>
      <x:c r="C22" s="24" t="str">
        <x:v>BILLY 毕利 / OXBERG 奥克伯 带门书柜</x:v>
      </x:c>
      <x:c r="D22" s="24" t="str">
        <x:v>IKEA 宜家 BILLY / 795.283.48</x:v>
      </x:c>
      <x:c r="E22" s="18" t="n">
        <x:v>3</x:v>
      </x:c>
      <x:c r="F22" s="13" t="str">
        <x:v>件</x:v>
      </x:c>
      <x:c r="G22" s="20" t="n">
        <x:v>449</x:v>
      </x:c>
      <x:c r="H22" s="20"/>
      <x:c r="I22" s="22" t="n">
        <x:v>1</x:v>
      </x:c>
      <x:c r="J22" s="23" t="n">
        <x:f>IF(ISBLANK(H22),G22,H22)</x:f>
        <x:v>449</x:v>
      </x:c>
      <x:c r="K22" s="23" t="n">
        <x:f>E22*J22*I22</x:f>
        <x:v>1347</x:v>
      </x:c>
      <x:c r="L22" s="12" t="str">
        <x:v>大陆官网商品详情页显示价；非锁价合同，不计过期会员/优惠价</x:v>
      </x:c>
      <x:c r="M22" s="12" t="str">
        <x:v>R304 妈妈毛线工作室×3 40×30×202 cm；三件120×30×202，较模型毛线柜145×30×190更窄但高12；靠西实墙复核窗帘和墙面电点。柜门有缝，不能称密封柜；毛线加带盖盒。
书架与所选板/玻璃门套装；另计：额外内配、防倾倒基层固定件、配送组装另计</x:v>
      </x:c>
      <x:c r="N22" s="12"/>
      <x:c r="O22" s="12" t="str">
        <x:v>https://www.ikea.cn/cn/zh/p/billy-bi-li-oxberg-ao-ke-bo-dai-ban-bo-li-men-shu-gui-bai-se-bo-li-s79528348/
核对：2026-09-10</x:v>
      </x:c>
    </x:row>
    <x:row r="23" ht="52.79999923706055" hidden="0" customHeight="1">
      <x:c r="A23" s="12" t="str">
        <x:v>FN-F20</x:v>
      </x:c>
      <x:c r="B23" s="12" t="str">
        <x:v>成品家具</x:v>
      </x:c>
      <x:c r="C23" s="12" t="str">
        <x:v>SAMLA 萨姆拉 附盖储物盒 5L</x:v>
      </x:c>
      <x:c r="D23" s="12" t="str">
        <x:v>IKEA 宜家 SAMLA / 194.408.48</x:v>
      </x:c>
      <x:c r="E23" s="18" t="n">
        <x:v>12</x:v>
      </x:c>
      <x:c r="F23" s="13" t="str">
        <x:v>件</x:v>
      </x:c>
      <x:c r="G23" s="20" t="n">
        <x:v>9.99</x:v>
      </x:c>
      <x:c r="H23" s="20"/>
      <x:c r="I23" s="22" t="n">
        <x:v>1</x:v>
      </x:c>
      <x:c r="J23" s="23" t="n">
        <x:f>IF(ISBLANK(H23),G23,H23)</x:f>
        <x:v>9.99</x:v>
      </x:c>
      <x:c r="K23" s="23" t="n">
        <x:f>E23*J23*I23</x:f>
        <x:v>119.88</x:v>
      </x:c>
      <x:c r="L23" s="12" t="str">
        <x:v>大陆官网商品详情页显示价；非锁价合同，不计过期会员/优惠价</x:v>
      </x:c>
      <x:c r="M23" s="12" t="str">
        <x:v>R304 妈妈毛线工作室×12 28×20×14 cm；用于按线色/小件分类；横向28、进深20放入30深书柜，每格1盒为基准。非密封防潮箱，勿湿线入柜。
盒体与盖，合计9.99；不重复加盖价；另计：标签、干燥剂及配送另计</x:v>
      </x:c>
      <x:c r="N23" s="12"/>
      <x:c r="O23" s="12" t="str">
        <x:v>https://www.ikea.cn/cn/zh/p/samla-box-with-lid-transparent-19440848/
核对：2026-09-10</x:v>
      </x:c>
    </x:row>
    <x:row r="24" ht="66" hidden="0" customHeight="1">
      <x:c r="A24" s="24" t="str">
        <x:v>FN-F21</x:v>
      </x:c>
      <x:c r="B24" s="24" t="str">
        <x:v>成品家具</x:v>
      </x:c>
      <x:c r="C24" s="24" t="str">
        <x:v>POÄNG 波昂 单人扶手椅</x:v>
      </x:c>
      <x:c r="D24" s="24" t="str">
        <x:v>IKEA 宜家 POÄNG / 192.407.88</x:v>
      </x:c>
      <x:c r="E24" s="18" t="n">
        <x:v>2</x:v>
      </x:c>
      <x:c r="F24" s="13" t="str">
        <x:v>件</x:v>
      </x:c>
      <x:c r="G24" s="20" t="n">
        <x:v>499</x:v>
      </x:c>
      <x:c r="H24" s="20"/>
      <x:c r="I24" s="22" t="n">
        <x:v>1</x:v>
      </x:c>
      <x:c r="J24" s="23" t="n">
        <x:f>IF(ISBLANK(H24),G24,H24)</x:f>
        <x:v>499</x:v>
      </x:c>
      <x:c r="K24" s="23" t="n">
        <x:f>E24*J24*I24</x:f>
        <x:v>998</x:v>
      </x:c>
      <x:c r="L24" s="12" t="str">
        <x:v>大陆官网商品详情页显示价；非锁价合同，不计过期会员/优惠价</x:v>
      </x:c>
      <x:c r="M24" s="12" t="str">
        <x:v>R104 客厅、R206 二层休闲/家政区 68×83×100 cm；真实68×83明显大于模型窗边普通椅，列有条件替代，预留约80×100静态区并核前方起身空间；不得直接声称模型已验证。座高40，对父母须试起坐；如偏低改中高座扶手椅另询价。
椅框及所选椅垫；另计：脚凳及配送组装另计</x:v>
      </x:c>
      <x:c r="N24" s="12"/>
      <x:c r="O24" s="12" t="str">
        <x:v>https://www.ikea.cn/cn/zh/p/poaeng-bo-ang-dan-ren-sha-fa-fu-shou-yi-hua-mu-tie-mian-ji-ni-sa-dan-mi-se-s19240788/
核对：2026-09-10</x:v>
      </x:c>
    </x:row>
    <x:row r="25" ht="52.79999923706055" hidden="0" customHeight="1">
      <x:c r="A25" s="12" t="str">
        <x:v>FN-F26</x:v>
      </x:c>
      <x:c r="B25" s="12" t="str">
        <x:v>成品家具</x:v>
      </x:c>
      <x:c r="C25" s="12" t="str">
        <x:v>NÄMMARÖ 耐玛瑞 户外长椅</x:v>
      </x:c>
      <x:c r="D25" s="12" t="str">
        <x:v>IKEA 宜家 NÄMMARÖ / 105.103.41</x:v>
      </x:c>
      <x:c r="E25" s="18" t="n">
        <x:v>1</x:v>
      </x:c>
      <x:c r="F25" s="13" t="str">
        <x:v>件</x:v>
      </x:c>
      <x:c r="G25" s="20" t="n">
        <x:v>499</x:v>
      </x:c>
      <x:c r="H25" s="20"/>
      <x:c r="I25" s="22" t="n">
        <x:v>1</x:v>
      </x:c>
      <x:c r="J25" s="23" t="n">
        <x:f>IF(ISBLANK(H25),G25,H25)</x:f>
        <x:v>499</x:v>
      </x:c>
      <x:c r="K25" s="23" t="n">
        <x:f>E25*J25*I25</x:f>
        <x:v>499</x:v>
      </x:c>
      <x:c r="L25" s="12" t="str">
        <x:v>大陆官网商品详情页显示价；非锁价合同，不计过期会员/优惠价</x:v>
      </x:c>
      <x:c r="M25" s="12" t="str">
        <x:v>R305 露台花园 120×40×45 cm；替代G3-B01意向坐凳；按120×40沿原长向放置。与花箱、排水口及门区联合复尺，不贴近边缘形成攀爬踏脚。
木长椅；另计：坐垫、家具罩、养护油及配送组装另计</x:v>
      </x:c>
      <x:c r="N25" s="12"/>
      <x:c r="O25" s="12" t="str">
        <x:v>https://www.ikea.cn/cn/zh/p/naemmaroe-nai-ma-rui-chang-yi-hu-wai-zhao-qian-he-se-qi-10510341/
核对：2026-09-10</x:v>
      </x:c>
    </x:row>
    <x:row r="26" ht="66" hidden="0" customHeight="1">
      <x:c r="A26" s="24" t="str">
        <x:v>FN-F04-D</x:v>
      </x:c>
      <x:c r="B26" s="24" t="str">
        <x:v>成品家具</x:v>
      </x:c>
      <x:c r="C26" s="24" t="str">
        <x:v>NESTTUN 奈斯顿 床架 / LURÖY 鲁瑞 90（延后）</x:v>
      </x:c>
      <x:c r="D26" s="24" t="str">
        <x:v>IKEA 宜家 NESTTUN / 691.580.26</x:v>
      </x:c>
      <x:c r="E26" s="18" t="n">
        <x:v>1</x:v>
      </x:c>
      <x:c r="F26" s="13" t="str">
        <x:v>件</x:v>
      </x:c>
      <x:c r="G26" s="20" t="n">
        <x:v>699</x:v>
      </x:c>
      <x:c r="H26" s="20"/>
      <x:c r="I26" s="22" t="n">
        <x:v>0</x:v>
      </x:c>
      <x:c r="J26" s="23" t="n">
        <x:f>IF(ISBLANK(H26),G26,H26)</x:f>
        <x:v>699</x:v>
      </x:c>
      <x:c r="K26" s="23" t="n">
        <x:f>E26*J26*I26</x:f>
        <x:v>0</x:v>
      </x:c>
      <x:c r="L26" s="12" t="str">
        <x:v>大陆官网商品详情页显示价；非锁价合同，不计过期会员/优惠价</x:v>
      </x:c>
      <x:c r="M26" s="12" t="str">
        <x:v>R204 未来儿童房 96×207×86 cm；模型儿童预留床框110×215；成品96×207。按弹性客卧/较大儿童后期家具作预算，不作为婴儿床或幼儿防坠方案。
90×200床架及鲁瑞床板架；另计：床垫、床品及适龄安全配件另列；配送上楼组装另计</x:v>
      </x:c>
      <x:c r="N26" s="12"/>
      <x:c r="O26" s="12" t="str">
        <x:v>https://www.ikea.cn/cn/zh/p/nesttun-nai-si-dun-chuang-jia-bai-se-lu-rui-69158026/
核对：2026-09-10</x:v>
      </x:c>
    </x:row>
    <x:row r="27" ht="52.79999923706055" hidden="0" customHeight="1">
      <x:c r="A27" s="12" t="str">
        <x:v>FN-F08-D</x:v>
      </x:c>
      <x:c r="B27" s="12" t="str">
        <x:v>成品家具</x:v>
      </x:c>
      <x:c r="C27" s="12" t="str">
        <x:v>VALEVÅG 瓦勒沃格 袋装弹簧床垫 90（延后）</x:v>
      </x:c>
      <x:c r="D27" s="12" t="str">
        <x:v>IKEA 宜家 VALEVÅG / 404.700.27</x:v>
      </x:c>
      <x:c r="E27" s="18" t="n">
        <x:v>1</x:v>
      </x:c>
      <x:c r="F27" s="13" t="str">
        <x:v>件</x:v>
      </x:c>
      <x:c r="G27" s="20" t="n">
        <x:v>1299</x:v>
      </x:c>
      <x:c r="H27" s="20"/>
      <x:c r="I27" s="22" t="n">
        <x:v>0</x:v>
      </x:c>
      <x:c r="J27" s="23" t="n">
        <x:f>IF(ISBLANK(H27),G27,H27)</x:f>
        <x:v>1299</x:v>
      </x:c>
      <x:c r="K27" s="23" t="n">
        <x:f>E27*J27*I27</x:f>
        <x:v>0</x:v>
      </x:c>
      <x:c r="L27" s="12" t="str">
        <x:v>大陆官网商品详情页显示价；非锁价合同，不计过期会员/优惠价</x:v>
      </x:c>
      <x:c r="M27" s="12" t="str">
        <x:v>R204 未来儿童房 90×200×24 cm；匹配F04；该项为未来弹性客卧预算，儿童实际使用时按年龄和床架安全要求复选。
单张床垫；另计：床架、床板、床褥、保护垫、床品及配送另计</x:v>
      </x:c>
      <x:c r="N27" s="12"/>
      <x:c r="O27" s="12" t="str">
        <x:v>https://www.ikea.cn/cn/zh/p/valevag-wa-le-wo-ge-dai-zhuang-dan-huang-chuang-dian-jia-ying-qian-lan-se-40470027/
核对：2026-09-10</x:v>
      </x:c>
    </x:row>
    <x:row r="28" ht="66" hidden="0" customHeight="1">
      <x:c r="A28" s="24" t="str">
        <x:v>FN-F15-D</x:v>
      </x:c>
      <x:c r="B28" s="24" t="str">
        <x:v>成品家具</x:v>
      </x:c>
      <x:c r="C28" s="24" t="str">
        <x:v>MARKUS 马库斯 人体工学办公椅 小号（延后）</x:v>
      </x:c>
      <x:c r="D28" s="24" t="str">
        <x:v>IKEA 宜家 MARKUS / 805.887.94</x:v>
      </x:c>
      <x:c r="E28" s="18" t="n">
        <x:v>1</x:v>
      </x:c>
      <x:c r="F28" s="13" t="str">
        <x:v>件</x:v>
      </x:c>
      <x:c r="G28" s="20" t="n">
        <x:v>799</x:v>
      </x:c>
      <x:c r="H28" s="20"/>
      <x:c r="I28" s="22" t="n">
        <x:v>0</x:v>
      </x:c>
      <x:c r="J28" s="23" t="n">
        <x:f>IF(ISBLANK(H28),G28,H28)</x:f>
        <x:v>799</x:v>
      </x:c>
      <x:c r="K28" s="23" t="n">
        <x:f>E28*J28*I28</x:f>
        <x:v>0</x:v>
      </x:c>
      <x:c r="L28" s="12" t="str">
        <x:v>大陆官网商品详情页显示价；非锁价合同，不计过期会员/优惠价</x:v>
      </x:c>
      <x:c r="M28" s="12" t="str">
        <x:v>R204 未来儿童房 64×64×129 cm；高度118–129、座高43–54、底盘64×64；比模型普通椅大，必须按真实底盘、后仰及退椅走样；先试坐再定大小号。儿童房这把仅为未来客卧/较大儿童预算，不按幼儿适用宣称。
办公椅，含产品配套头枕/扶手；另计：脚踏、地板保护垫及配送组装另计</x:v>
      </x:c>
      <x:c r="N28" s="12"/>
      <x:c r="O28" s="12" t="str">
        <x:v>https://www.ikea.cn/cn/zh/p/markus-ma-ku-si-ban-gong-yi-wei-suo-er-shen-hui-se-80588794/
核对：2026-09-10</x:v>
      </x:c>
    </x:row>
    <x:row r="29" ht="52.79999923706055" hidden="0" customHeight="1">
      <x:c r="A29" s="12" t="str">
        <x:v>FN-F16-D</x:v>
      </x:c>
      <x:c r="B29" s="12" t="str">
        <x:v>成品家具</x:v>
      </x:c>
      <x:c r="C29" s="12" t="str">
        <x:v>MICKE 米克 书桌 73（延后）</x:v>
      </x:c>
      <x:c r="D29" s="12" t="str">
        <x:v>IKEA 宜家 MICKE / 803.542.81</x:v>
      </x:c>
      <x:c r="E29" s="18" t="n">
        <x:v>1</x:v>
      </x:c>
      <x:c r="F29" s="13" t="str">
        <x:v>件</x:v>
      </x:c>
      <x:c r="G29" s="20" t="n">
        <x:v>399</x:v>
      </x:c>
      <x:c r="H29" s="20"/>
      <x:c r="I29" s="22" t="n">
        <x:v>0</x:v>
      </x:c>
      <x:c r="J29" s="23" t="n">
        <x:f>IF(ISBLANK(H29),G29,H29)</x:f>
        <x:v>399</x:v>
      </x:c>
      <x:c r="K29" s="23" t="n">
        <x:f>E29*J29*I29</x:f>
        <x:v>0</x:v>
      </x:c>
      <x:c r="L29" s="12" t="str">
        <x:v>大陆官网商品详情页显示价；非锁价合同，不计过期会员/优惠价</x:v>
      </x:c>
      <x:c r="M29" s="12" t="str">
        <x:v>R204 未来儿童房 73×50×75 cm；模型90×55；成品73×50可留更多通路。固定75高并不适合所有年龄，儿童实际启用时按身高换桌椅组合。
小书桌及抽屉；另计：配送、上楼、组装和额外墙体固定件另核</x:v>
      </x:c>
      <x:c r="N29" s="12"/>
      <x:c r="O29" s="12" t="str">
        <x:v>https://www.ikea.cn/cn/zh/p/micke-desk-white-80354281/
核对：2026-09-10</x:v>
      </x:c>
    </x:row>
    <x:row r="30" ht="52.79999923706055" hidden="0" customHeight="1">
      <x:c r="A30" s="24" t="str">
        <x:v>FN-F20-D</x:v>
      </x:c>
      <x:c r="B30" s="24" t="str">
        <x:v>成品家具</x:v>
      </x:c>
      <x:c r="C30" s="24" t="str">
        <x:v>SAMLA 萨姆拉 附盖储物盒 5L（延后）</x:v>
      </x:c>
      <x:c r="D30" s="24" t="str">
        <x:v>IKEA 宜家 SAMLA / 194.408.48</x:v>
      </x:c>
      <x:c r="E30" s="18" t="n">
        <x:v>6</x:v>
      </x:c>
      <x:c r="F30" s="13" t="str">
        <x:v>件</x:v>
      </x:c>
      <x:c r="G30" s="20" t="n">
        <x:v>9.99</x:v>
      </x:c>
      <x:c r="H30" s="20"/>
      <x:c r="I30" s="22" t="n">
        <x:v>0</x:v>
      </x:c>
      <x:c r="J30" s="23" t="n">
        <x:f>IF(ISBLANK(H30),G30,H30)</x:f>
        <x:v>9.99</x:v>
      </x:c>
      <x:c r="K30" s="23" t="n">
        <x:f>E30*J30*I30</x:f>
        <x:v>0</x:v>
      </x:c>
      <x:c r="L30" s="12" t="str">
        <x:v>大陆官网商品详情页显示价；非锁价合同，不计过期会员/优惠价</x:v>
      </x:c>
      <x:c r="M30" s="12" t="str">
        <x:v>R204 未来儿童房×6 28×20×14 cm；用于按线色/小件分类；横向28、进深20放入30深书柜，每格1盒为基准。非密封防潮箱，勿湿线入柜。
盒体与盖，合计9.99；不重复加盖价；另计：标签、干燥剂及配送另计</x:v>
      </x:c>
      <x:c r="N30" s="12"/>
      <x:c r="O30" s="12" t="str">
        <x:v>https://www.ikea.cn/cn/zh/p/samla-box-with-lid-transparent-19440848/
核对：2026-09-10</x:v>
      </x:c>
    </x:row>
    <x:row r="31" ht="52.79999923706055" hidden="0" customHeight="1">
      <x:c r="A31" s="12" t="str">
        <x:v>FN-F22-D</x:v>
      </x:c>
      <x:c r="B31" s="12" t="str">
        <x:v>成品家具</x:v>
      </x:c>
      <x:c r="C31" s="12" t="str">
        <x:v>GLADOM 格拉登 托盘边桌（延后）</x:v>
      </x:c>
      <x:c r="D31" s="12" t="str">
        <x:v>IKEA 宜家 GLADOM / 503.378.20</x:v>
      </x:c>
      <x:c r="E31" s="18" t="n">
        <x:v>2</x:v>
      </x:c>
      <x:c r="F31" s="13" t="str">
        <x:v>件</x:v>
      </x:c>
      <x:c r="G31" s="20" t="n">
        <x:v>79.99</x:v>
      </x:c>
      <x:c r="H31" s="20"/>
      <x:c r="I31" s="22" t="n">
        <x:v>0</x:v>
      </x:c>
      <x:c r="J31" s="23" t="n">
        <x:f>IF(ISBLANK(H31),G31,H31)</x:f>
        <x:v>79.99</x:v>
      </x:c>
      <x:c r="K31" s="23" t="n">
        <x:f>E31*J31*I31</x:f>
        <x:v>0</x:v>
      </x:c>
      <x:c r="L31" s="12" t="str">
        <x:v>大陆官网商品详情页显示价；非锁价合同，不计过期会员/优惠价</x:v>
      </x:c>
      <x:c r="M31" s="12" t="str">
        <x:v>R104 客厅、R206 二层休闲/家政区 45×45×53 cm；室内阅读角可移动边桌，圆形直径45；与POÄNG同时做纸样，不能占主通路。未用作户外耐候家具。
托盘与桌架；另计：配送、上楼、组装和额外墙体固定件另核</x:v>
      </x:c>
      <x:c r="N31" s="12"/>
      <x:c r="O31" s="12" t="str">
        <x:v>https://www.ikea.cn/cn/zh/p/gladom-tray-table-white-50337820/
核对：2026-09-10</x:v>
      </x:c>
    </x:row>
    <x:row r="32" ht="52.79999923706055" hidden="0" customHeight="1">
      <x:c r="A32" s="24" t="str">
        <x:v>FN-F23-D</x:v>
      </x:c>
      <x:c r="B32" s="24" t="str">
        <x:v>成品家具</x:v>
      </x:c>
      <x:c r="C32" s="24" t="str">
        <x:v>NÄMMARÖ 耐玛瑞 户外桌（延后）</x:v>
      </x:c>
      <x:c r="D32" s="24" t="str">
        <x:v>IKEA 宜家 NÄMMARÖ / 805.112.00</x:v>
      </x:c>
      <x:c r="E32" s="18" t="n">
        <x:v>1</x:v>
      </x:c>
      <x:c r="F32" s="13" t="str">
        <x:v>件</x:v>
      </x:c>
      <x:c r="G32" s="20" t="n">
        <x:v>999</x:v>
      </x:c>
      <x:c r="H32" s="20"/>
      <x:c r="I32" s="22" t="n">
        <x:v>0</x:v>
      </x:c>
      <x:c r="J32" s="23" t="n">
        <x:f>IF(ISBLANK(H32),G32,H32)</x:f>
        <x:v>999</x:v>
      </x:c>
      <x:c r="K32" s="23" t="n">
        <x:f>E32*J32*I32</x:f>
        <x:v>0</x:v>
      </x:c>
      <x:c r="L32" s="12" t="str">
        <x:v>大陆官网商品详情页显示价；非锁价合同，不计过期会员/优惠价</x:v>
      </x:c>
      <x:c r="M32" s="12" t="str">
        <x:v>R109 南院 140×75×75 cm；平面140×75小于模型G1-T01的145×78；高度改75餐桌高，配45座高四椅，保留长边两侧各2。不是模型低茶几高度。
户外木桌；另计：椅子、家具罩、养护油、配送组装另计</x:v>
      </x:c>
      <x:c r="N32" s="12"/>
      <x:c r="O32" s="12" t="str">
        <x:v>https://www.ikea.cn/cn/zh/p/naemmaroe-nai-ma-rui-zhuo-zi-hu-wai-zhao-qian-he-se-qi-80511200/
核对：2026-09-10</x:v>
      </x:c>
    </x:row>
    <x:row r="33" ht="52.79999923706055" hidden="0" customHeight="1">
      <x:c r="A33" s="12" t="str">
        <x:v>FN-F24-D</x:v>
      </x:c>
      <x:c r="B33" s="12" t="str">
        <x:v>成品家具</x:v>
      </x:c>
      <x:c r="C33" s="12" t="str">
        <x:v>NÄMMARÖ 耐玛瑞 户外折叠椅（延后）</x:v>
      </x:c>
      <x:c r="D33" s="12" t="str">
        <x:v>IKEA 宜家 NÄMMARÖ / 705.103.43</x:v>
      </x:c>
      <x:c r="E33" s="18" t="n">
        <x:v>4</x:v>
      </x:c>
      <x:c r="F33" s="13" t="str">
        <x:v>件</x:v>
      </x:c>
      <x:c r="G33" s="20" t="n">
        <x:v>299</x:v>
      </x:c>
      <x:c r="H33" s="20"/>
      <x:c r="I33" s="22" t="n">
        <x:v>0</x:v>
      </x:c>
      <x:c r="J33" s="23" t="n">
        <x:f>IF(ISBLANK(H33),G33,H33)</x:f>
        <x:v>299</x:v>
      </x:c>
      <x:c r="K33" s="23" t="n">
        <x:f>E33*J33*I33</x:f>
        <x:v>0</x:v>
      </x:c>
      <x:c r="L33" s="12" t="str">
        <x:v>大陆官网商品详情页显示价；非锁价合同，不计过期会员/优惠价</x:v>
      </x:c>
      <x:c r="M33" s="12" t="str">
        <x:v>R109 南院×4 49×50×81 cm；座高45；比示意普通椅略大，配F23复核4把拉椅后到坡道的通路；不用躺椅替换。
折叠木椅；另计：坐垫、家具罩、养护油及配送另计</x:v>
      </x:c>
      <x:c r="N33" s="12"/>
      <x:c r="O33" s="12" t="str">
        <x:v>https://www.ikea.cn/cn/zh/p/70510343/
核对：2026-09-10</x:v>
      </x:c>
    </x:row>
    <x:row r="34" ht="52.79999923706055" hidden="0" customHeight="1">
      <x:c r="A34" s="24" t="str">
        <x:v>FN-F25-D</x:v>
      </x:c>
      <x:c r="B34" s="24" t="str">
        <x:v>成品家具</x:v>
      </x:c>
      <x:c r="C34" s="24" t="str">
        <x:v>KUDDARNA 库达那 户外椅垫（延后）</x:v>
      </x:c>
      <x:c r="D34" s="24" t="str">
        <x:v>IKEA 宜家 KUDDARNA / 805.472.23</x:v>
      </x:c>
      <x:c r="E34" s="18" t="n">
        <x:v>4</x:v>
      </x:c>
      <x:c r="F34" s="13" t="str">
        <x:v>件</x:v>
      </x:c>
      <x:c r="G34" s="20" t="n">
        <x:v>29.99</x:v>
      </x:c>
      <x:c r="H34" s="20"/>
      <x:c r="I34" s="22" t="n">
        <x:v>0</x:v>
      </x:c>
      <x:c r="J34" s="23" t="n">
        <x:f>IF(ISBLANK(H34),G34,H34)</x:f>
        <x:v>29.99</x:v>
      </x:c>
      <x:c r="K34" s="23" t="n">
        <x:f>E34*J34*I34</x:f>
        <x:v>0</x:v>
      </x:c>
      <x:c r="L34" s="12" t="str">
        <x:v>大陆官网商品详情页显示价；非锁价合同，不计过期会员/优惠价</x:v>
      </x:c>
      <x:c r="M34" s="12" t="str">
        <x:v>R109 南院×4 36×32×6 cm；放在44×44的椅座居中系紧，垫小于椅座；雨后收纳晾干；坐高增加约6，须实坐确认。
单件椅垫；另计：配送、上楼、组装和额外墙体固定件另核</x:v>
      </x:c>
      <x:c r="N34" s="12"/>
      <x:c r="O34" s="12" t="str">
        <x:v>https://www.ikea.cn/cn/zh/p/kuddarna-ku-da-na-yi-dian-hu-wai-qian-mi-hui-se-80547223/
核对：2026-09-10</x:v>
      </x:c>
    </x:row>
    <x:row r="35" ht="66" hidden="0" customHeight="1">
      <x:c r="A35" s="12" t="str">
        <x:v>FN-C01</x:v>
      </x:c>
      <x:c r="B35" s="12" t="str">
        <x:v>定制家具</x:v>
      </x:c>
      <x:c r="C35" s="12" t="str">
        <x:v>爸爸操盘桌</x:v>
      </x:c>
      <x:c r="D35" s="12" t="str">
        <x:v>定制尺寸规格，无成品型号</x:v>
      </x:c>
      <x:c r="E35" s="18" t="n">
        <x:v>1</x:v>
      </x:c>
      <x:c r="F35" s="13" t="str">
        <x:v>件</x:v>
      </x:c>
      <x:c r="G35" s="20" t="n">
        <x:v>2500</x:v>
      </x:c>
      <x:c r="H35" s="20"/>
      <x:c r="I35" s="22" t="n">
        <x:v>1</x:v>
      </x:c>
      <x:c r="J35" s="23" t="n">
        <x:f>IF(ISBLANK(H35),G35,H35)</x:f>
        <x:v>2500</x:v>
      </x:c>
      <x:c r="K35" s="23" t="n">
        <x:f>E35*J35*I35</x:f>
        <x:v>2500</x:v>
      </x:c>
      <x:c r="L35" s="12" t="str">
        <x:v>设计概算额度，非供应商报价；需同图同材询价</x:v>
      </x:c>
      <x:c r="M35" s="12" t="str">
        <x:v>R108 爸爸操盘房 148×80×76 cm；保留原意向外廓；承重底架、显示器支臂夹具加强、后部线槽、可拆检修和圆角。三屏真实尺寸与支架载荷到货前深化。原梯区未获合法实施条件，不下固定桌订单。
活动定制家具；浅木色 / 哑光米白</x:v>
      </x:c>
      <x:c r="N35" s="12"/>
      <x:c r="O35" s="12" t="str">
        <x:v>预算假设：2026-09-10，待实际询价</x:v>
      </x:c>
    </x:row>
    <x:row r="36" ht="52.79999923706055" hidden="0" customHeight="1">
      <x:c r="A36" s="24" t="str">
        <x:v>FN-C02</x:v>
      </x:c>
      <x:c r="B36" s="24" t="str">
        <x:v>定制家具</x:v>
      </x:c>
      <x:c r="C36" s="24" t="str">
        <x:v>妈妈编织工作台</x:v>
      </x:c>
      <x:c r="D36" s="24" t="str">
        <x:v>定制尺寸规格，无成品型号</x:v>
      </x:c>
      <x:c r="E36" s="18" t="n">
        <x:v>1</x:v>
      </x:c>
      <x:c r="F36" s="13" t="str">
        <x:v>件</x:v>
      </x:c>
      <x:c r="G36" s="20" t="n">
        <x:v>2200</x:v>
      </x:c>
      <x:c r="H36" s="20"/>
      <x:c r="I36" s="22" t="n">
        <x:v>1</x:v>
      </x:c>
      <x:c r="J36" s="23" t="n">
        <x:f>IF(ISBLANK(H36),G36,H36)</x:f>
        <x:v>2200</x:v>
      </x:c>
      <x:c r="K36" s="23" t="n">
        <x:f>E36*J36*I36</x:f>
        <x:v>2200</x:v>
      </x:c>
      <x:c r="L36" s="12" t="str">
        <x:v>设计概算额度，非供应商报价；需同图同材询价</x:v>
      </x:c>
      <x:c r="M36" s="12" t="str">
        <x:v>R304 妈妈毛线工作室 165×70×76 cm；哑光易擦台面、圆角、桌面下净膝空间；不做妨碍退椅的满深柜。原梯区未明确实施条件，不下固定桌订单。
活动定制家具；浅木色 / 哑光米白</x:v>
      </x:c>
      <x:c r="N36" s="12"/>
      <x:c r="O36" s="12" t="str">
        <x:v>预算假设：2026-09-10，待实际询价</x:v>
      </x:c>
    </x:row>
    <x:row r="37" ht="52.79999923706055" hidden="0" customHeight="1">
      <x:c r="A37" s="12" t="str">
        <x:v>FN-C03</x:v>
      </x:c>
      <x:c r="B37" s="12" t="str">
        <x:v>定制家具</x:v>
      </x:c>
      <x:c r="C37" s="12" t="str">
        <x:v>书法长案</x:v>
      </x:c>
      <x:c r="D37" s="12" t="str">
        <x:v>定制尺寸规格，无成品型号</x:v>
      </x:c>
      <x:c r="E37" s="18" t="n">
        <x:v>1</x:v>
      </x:c>
      <x:c r="F37" s="13" t="str">
        <x:v>件</x:v>
      </x:c>
      <x:c r="G37" s="20" t="n">
        <x:v>4200</x:v>
      </x:c>
      <x:c r="H37" s="20"/>
      <x:c r="I37" s="22" t="n">
        <x:v>1</x:v>
      </x:c>
      <x:c r="J37" s="23" t="n">
        <x:f>IF(ISBLANK(H37),G37,H37)</x:f>
        <x:v>4200</x:v>
      </x:c>
      <x:c r="K37" s="23" t="n">
        <x:f>E37*J37*I37</x:f>
        <x:v>4200</x:v>
      </x:c>
      <x:c r="L37" s="12" t="str">
        <x:v>设计概算额度，非供应商报价；需同图同材询价</x:v>
      </x:c>
      <x:c r="M37" s="12" t="str">
        <x:v>R303 书法房 194×90×80 cm；194沿模型南北长向；整张哑光稳定台面、可换防墨毡、钢木底架，不靠薄台板直接夹重物。本人站写/坐写确认最终高度；不把概念194尺寸当加工净尺。
活动定制家具；浅木色 / 哑光米白</x:v>
      </x:c>
      <x:c r="N37" s="12"/>
      <x:c r="O37" s="12" t="str">
        <x:v>预算假设：2026-09-10，待实际询价</x:v>
      </x:c>
    </x:row>
    <x:row r="38" ht="52.79999923706055" hidden="0" customHeight="1">
      <x:c r="A38" s="24" t="str">
        <x:v>FN-C04</x:v>
      </x:c>
      <x:c r="B38" s="24" t="str">
        <x:v>定制家具</x:v>
      </x:c>
      <x:c r="C38" s="24" t="str">
        <x:v>父母衣柜</x:v>
      </x:c>
      <x:c r="D38" s="24" t="str">
        <x:v>定制尺寸规格，无成品型号</x:v>
      </x:c>
      <x:c r="E38" s="18" t="n">
        <x:v>1</x:v>
      </x:c>
      <x:c r="F38" s="13" t="str">
        <x:v>件</x:v>
      </x:c>
      <x:c r="G38" s="20" t="n">
        <x:v>4000</x:v>
      </x:c>
      <x:c r="H38" s="20"/>
      <x:c r="I38" s="22" t="n">
        <x:v>1</x:v>
      </x:c>
      <x:c r="J38" s="23" t="n">
        <x:f>IF(ISBLANK(H38),G38,H38)</x:f>
        <x:v>4000</x:v>
      </x:c>
      <x:c r="K38" s="23" t="n">
        <x:f>E38*J38*I38</x:f>
        <x:v>4000</x:v>
      </x:c>
      <x:c r="L38" s="12" t="str">
        <x:v>设计概算额度，非供应商报价；需同图同材询价</x:v>
      </x:c>
      <x:c r="M38" s="12" t="str">
        <x:v>R101 父母卧室 165×55×225 cm；模型55为外深，须把背板/门后实际挂衣净深画出来；必要用侧向拉出挂衣杆，不能直接加深压床侧路。
木作定制预算（总造价中仅计一次）；浅木色 / 哑光米白</x:v>
      </x:c>
      <x:c r="N38" s="12"/>
      <x:c r="O38" s="12" t="str">
        <x:v>预算假设：2026-09-10，待实际询价</x:v>
      </x:c>
    </x:row>
    <x:row r="39" ht="52.79999923706055" hidden="0" customHeight="1">
      <x:c r="A39" s="12" t="str">
        <x:v>FN-C05</x:v>
      </x:c>
      <x:c r="B39" s="12" t="str">
        <x:v>定制家具</x:v>
      </x:c>
      <x:c r="C39" s="12" t="str">
        <x:v>夫妻衣柜</x:v>
      </x:c>
      <x:c r="D39" s="12" t="str">
        <x:v>定制尺寸规格，无成品型号</x:v>
      </x:c>
      <x:c r="E39" s="18" t="n">
        <x:v>1</x:v>
      </x:c>
      <x:c r="F39" s="13" t="str">
        <x:v>件</x:v>
      </x:c>
      <x:c r="G39" s="20" t="n">
        <x:v>6500</x:v>
      </x:c>
      <x:c r="H39" s="20"/>
      <x:c r="I39" s="22" t="n">
        <x:v>1</x:v>
      </x:c>
      <x:c r="J39" s="23" t="n">
        <x:f>IF(ISBLANK(H39),G39,H39)</x:f>
        <x:v>6500</x:v>
      </x:c>
      <x:c r="K39" s="23" t="n">
        <x:f>E39*J39*I39</x:f>
        <x:v>6500</x:v>
      </x:c>
      <x:c r="L39" s="12" t="str">
        <x:v>设计概算额度，非供应商报价；需同图同材询价</x:v>
      </x:c>
      <x:c r="M39" s="12" t="str">
        <x:v>R202 R202 240×55×228 cm；本预算包含基础柜体、门、常规铰链和挂衣/层板；不含奢侈五金、复杂灯控。55外深不保证常规平挂净深，内部系统和主卫门开启须深化。
木作定制预算（总造价中仅计一次）；浅木色 / 哑光米白</x:v>
      </x:c>
      <x:c r="N39" s="12"/>
      <x:c r="O39" s="12" t="str">
        <x:v>预算假设：2026-09-10，待实际询价</x:v>
      </x:c>
    </x:row>
    <x:row r="40" ht="52.79999923706055" hidden="0" customHeight="1">
      <x:c r="A40" s="24" t="str">
        <x:v>FN-C06</x:v>
      </x:c>
      <x:c r="B40" s="24" t="str">
        <x:v>定制家具</x:v>
      </x:c>
      <x:c r="C40" s="24" t="str">
        <x:v>妹妹衣柜</x:v>
      </x:c>
      <x:c r="D40" s="24" t="str">
        <x:v>定制尺寸规格，无成品型号</x:v>
      </x:c>
      <x:c r="E40" s="18" t="n">
        <x:v>1</x:v>
      </x:c>
      <x:c r="F40" s="13" t="str">
        <x:v>件</x:v>
      </x:c>
      <x:c r="G40" s="20" t="n">
        <x:v>3200</x:v>
      </x:c>
      <x:c r="H40" s="20"/>
      <x:c r="I40" s="22" t="n">
        <x:v>1</x:v>
      </x:c>
      <x:c r="J40" s="23" t="n">
        <x:f>IF(ISBLANK(H40),G40,H40)</x:f>
        <x:v>3200</x:v>
      </x:c>
      <x:c r="K40" s="23" t="n">
        <x:f>E40*J40*I40</x:f>
        <x:v>3200</x:v>
      </x:c>
      <x:c r="L40" s="12" t="str">
        <x:v>设计概算额度，非供应商报价；需同图同材询价</x:v>
      </x:c>
      <x:c r="M40" s="12" t="str">
        <x:v>R301 妹妹卧室 120×50×220 cm；保持沿东墙方向；50外深用侧向挂衣及折叠分区，未经重排不放60深标准衣柜。
木作定制预算（总造价中仅计一次）；浅木色 / 哑光米白</x:v>
      </x:c>
      <x:c r="N40" s="12"/>
      <x:c r="O40" s="12" t="str">
        <x:v>预算假设：2026-09-10，待实际询价</x:v>
      </x:c>
    </x:row>
    <x:row r="41" ht="52.79999923706055" hidden="0" customHeight="1">
      <x:c r="A41" s="12" t="str">
        <x:v>FN-C07</x:v>
      </x:c>
      <x:c r="B41" s="12" t="str">
        <x:v>定制家具</x:v>
      </x:c>
      <x:c r="C41" s="12" t="str">
        <x:v>儿童预留柜（延后）</x:v>
      </x:c>
      <x:c r="D41" s="12" t="str">
        <x:v>定制尺寸规格，无成品型号</x:v>
      </x:c>
      <x:c r="E41" s="18" t="n">
        <x:v>1</x:v>
      </x:c>
      <x:c r="F41" s="13" t="str">
        <x:v>件</x:v>
      </x:c>
      <x:c r="G41" s="20" t="n">
        <x:v>2200</x:v>
      </x:c>
      <x:c r="H41" s="20"/>
      <x:c r="I41" s="22" t="n">
        <x:v>0</x:v>
      </x:c>
      <x:c r="J41" s="23" t="n">
        <x:f>IF(ISBLANK(H41),G41,H41)</x:f>
        <x:v>2200</x:v>
      </x:c>
      <x:c r="K41" s="23" t="n">
        <x:f>E41*J41*I41</x:f>
        <x:v>0</x:v>
      </x:c>
      <x:c r="L41" s="12" t="str">
        <x:v>设计概算额度，非供应商报价；需同图同材询价</x:v>
      </x:c>
      <x:c r="M41" s="12" t="str">
        <x:v>R204 未来儿童房 120×50×160 cm；低柜及防倾倒固定，儿童年龄和使用方式未定，延后采购；不可作为攀爬阶梯。
木作定制预算（总造价中仅计一次）；浅木色 / 哑光米白</x:v>
      </x:c>
      <x:c r="N41" s="12"/>
      <x:c r="O41" s="12" t="str">
        <x:v>预算假设：2026-09-10，待实际询价</x:v>
      </x:c>
    </x:row>
    <x:row r="42" ht="66" hidden="0" customHeight="1">
      <x:c r="A42" s="24" t="str">
        <x:v>FN-C08</x:v>
      </x:c>
      <x:c r="B42" s="24" t="str">
        <x:v>定制家具</x:v>
      </x:c>
      <x:c r="C42" s="24" t="str">
        <x:v>宣纸与作品收纳柜</x:v>
      </x:c>
      <x:c r="D42" s="24" t="str">
        <x:v>定制尺寸规格，无成品型号</x:v>
      </x:c>
      <x:c r="E42" s="18" t="n">
        <x:v>1</x:v>
      </x:c>
      <x:c r="F42" s="13" t="str">
        <x:v>件</x:v>
      </x:c>
      <x:c r="G42" s="20" t="n">
        <x:v>2400</x:v>
      </x:c>
      <x:c r="H42" s="20"/>
      <x:c r="I42" s="22" t="n">
        <x:v>1</x:v>
      </x:c>
      <x:c r="J42" s="23" t="n">
        <x:f>IF(ISBLANK(H42),G42,H42)</x:f>
        <x:v>2400</x:v>
      </x:c>
      <x:c r="K42" s="23" t="n">
        <x:f>E42*J42*I42</x:f>
        <x:v>2400</x:v>
      </x:c>
      <x:c r="L42" s="12" t="str">
        <x:v>设计概算额度，非供应商报价；需同图同材询价</x:v>
      </x:c>
      <x:c r="M42" s="12" t="str">
        <x:v>R303 书法房 70×44×90 cm；原模型70×44无法平放模型中68×136的完整宣纸；只可放折纸/册页。完整大纸采用另行设计的立式卷轴筒或在194×90案下设可拆卷存模块，供应商先拿实际纸样；本项不宣称整张平放。
木作定制预算（总造价中仅计一次）；浅木色 / 哑光米白</x:v>
      </x:c>
      <x:c r="N42" s="12"/>
      <x:c r="O42" s="12" t="str">
        <x:v>预算假设：2026-09-10，待实际询价</x:v>
      </x:c>
    </x:row>
    <x:row r="43" ht="39.599998474121094" hidden="0" customHeight="1">
      <x:c r="A43" s="12" t="str">
        <x:v>FN-C09</x:v>
      </x:c>
      <x:c r="B43" s="12" t="str">
        <x:v>定制家具</x:v>
      </x:c>
      <x:c r="C43" s="12" t="str">
        <x:v>书法北窗矮柜</x:v>
      </x:c>
      <x:c r="D43" s="12" t="str">
        <x:v>定制尺寸规格，无成品型号</x:v>
      </x:c>
      <x:c r="E43" s="18" t="n">
        <x:v>1</x:v>
      </x:c>
      <x:c r="F43" s="13" t="str">
        <x:v>件</x:v>
      </x:c>
      <x:c r="G43" s="20" t="n">
        <x:v>2000</x:v>
      </x:c>
      <x:c r="H43" s="20"/>
      <x:c r="I43" s="22" t="n">
        <x:v>1</x:v>
      </x:c>
      <x:c r="J43" s="23" t="n">
        <x:f>IF(ISBLANK(H43),G43,H43)</x:f>
        <x:v>2000</x:v>
      </x:c>
      <x:c r="K43" s="23" t="n">
        <x:f>E43*J43*I43</x:f>
        <x:v>2000</x:v>
      </x:c>
      <x:c r="L43" s="12" t="str">
        <x:v>设计概算额度，非供应商报价；需同图同材询价</x:v>
      </x:c>
      <x:c r="M43" s="12" t="str">
        <x:v>R303 书法房 95×34×92 cm；保持低于已核110窗台；防潮、避日晒，窗帘与窗扇净距复核。
木作定制预算（总造价中仅计一次）；浅木色 / 哑光米白</x:v>
      </x:c>
      <x:c r="N43" s="12"/>
      <x:c r="O43" s="12" t="str">
        <x:v>预算假设：2026-09-10，待实际询价</x:v>
      </x:c>
    </x:row>
    <x:row r="44" ht="52.79999923706055" hidden="0" customHeight="1">
      <x:c r="A44" s="24" t="str">
        <x:v>FN-C10</x:v>
      </x:c>
      <x:c r="B44" s="24" t="str">
        <x:v>定制家具</x:v>
      </x:c>
      <x:c r="C44" s="24" t="str">
        <x:v>玄关窄鞋柜</x:v>
      </x:c>
      <x:c r="D44" s="24" t="str">
        <x:v>定制尺寸规格，无成品型号</x:v>
      </x:c>
      <x:c r="E44" s="18" t="n">
        <x:v>1</x:v>
      </x:c>
      <x:c r="F44" s="13" t="str">
        <x:v>件</x:v>
      </x:c>
      <x:c r="G44" s="20" t="n">
        <x:v>900</x:v>
      </x:c>
      <x:c r="H44" s="20"/>
      <x:c r="I44" s="22" t="n">
        <x:v>1</x:v>
      </x:c>
      <x:c r="J44" s="23" t="n">
        <x:f>IF(ISBLANK(H44),G44,H44)</x:f>
        <x:v>900</x:v>
      </x:c>
      <x:c r="K44" s="23" t="n">
        <x:f>E44*J44*I44</x:f>
        <x:v>900</x:v>
      </x:c>
      <x:c r="L44" s="12" t="str">
        <x:v>设计概算额度，非供应商报价；需同图同材询价</x:v>
      </x:c>
      <x:c r="M44" s="12" t="str">
        <x:v>R107 R107 46×28×110 cm；原模型外形仅46×28×110，不足全家全部鞋量；做常用鞋倾斜层板和钥匙收纳，季节鞋进入其他柜体。本项仅这只窄柜。
木作定制预算（总造价中仅计一次）；浅木色 / 哑光米白</x:v>
      </x:c>
      <x:c r="N44" s="12"/>
      <x:c r="O44" s="12" t="str">
        <x:v>预算假设：2026-09-10，待实际询价</x:v>
      </x:c>
    </x:row>
    <x:row r="45" ht="52.79999923706055" hidden="0" customHeight="1">
      <x:c r="A45" s="12" t="str">
        <x:v>FN-C11</x:v>
      </x:c>
      <x:c r="B45" s="12" t="str">
        <x:v>定制家具</x:v>
      </x:c>
      <x:c r="C45" s="12" t="str">
        <x:v>露台轻型换盆台</x:v>
      </x:c>
      <x:c r="D45" s="12" t="str">
        <x:v>定制尺寸规格，无成品型号</x:v>
      </x:c>
      <x:c r="E45" s="18" t="n">
        <x:v>1</x:v>
      </x:c>
      <x:c r="F45" s="13" t="str">
        <x:v>件</x:v>
      </x:c>
      <x:c r="G45" s="20" t="n">
        <x:v>1200</x:v>
      </x:c>
      <x:c r="H45" s="20"/>
      <x:c r="I45" s="22" t="n">
        <x:v>1</x:v>
      </x:c>
      <x:c r="J45" s="23" t="n">
        <x:f>IF(ISBLANK(H45),G45,H45)</x:f>
        <x:v>1200</x:v>
      </x:c>
      <x:c r="K45" s="23" t="n">
        <x:f>E45*J45*I45</x:f>
        <x:v>1200</x:v>
      </x:c>
      <x:c r="L45" s="12" t="str">
        <x:v>设计概算额度，非供应商报价；需同图同材询价</x:v>
      </x:c>
      <x:c r="M45" s="12" t="str">
        <x:v>R305 露台花园 80×46×85 cm；按最新定位与花箱错开；可拆耐候台面、带沿托盘、收土盒，供水只用经核接口。需承载、防水、排水批准后订。
园林固定/定制设施（勿与园林造价重复）；浅木色 / 哑光米白</x:v>
      </x:c>
      <x:c r="N45" s="12"/>
      <x:c r="O45" s="12" t="str">
        <x:v>预算假设：2026-09-10，待实际询价</x:v>
      </x:c>
    </x:row>
    <x:row r="46" ht="52.79999923706055" hidden="0" customHeight="1">
      <x:c r="A46" s="24" t="str">
        <x:v>FN-C12</x:v>
      </x:c>
      <x:c r="B46" s="24" t="str">
        <x:v>定制家具</x:v>
      </x:c>
      <x:c r="C46" s="24" t="str">
        <x:v>露台小圆茶桌（延后）</x:v>
      </x:c>
      <x:c r="D46" s="24" t="str">
        <x:v>定制尺寸规格，无成品型号</x:v>
      </x:c>
      <x:c r="E46" s="18" t="n">
        <x:v>1</x:v>
      </x:c>
      <x:c r="F46" s="13" t="str">
        <x:v>件</x:v>
      </x:c>
      <x:c r="G46" s="20" t="n">
        <x:v>600</x:v>
      </x:c>
      <x:c r="H46" s="20"/>
      <x:c r="I46" s="22" t="n">
        <x:v>0</x:v>
      </x:c>
      <x:c r="J46" s="23" t="n">
        <x:f>IF(ISBLANK(H46),G46,H46)</x:f>
        <x:v>600</x:v>
      </x:c>
      <x:c r="K46" s="23" t="n">
        <x:f>E46*J46*I46</x:f>
        <x:v>0</x:v>
      </x:c>
      <x:c r="L46" s="12" t="str">
        <x:v>设计概算额度，非供应商报价；需同图同材询价</x:v>
      </x:c>
      <x:c r="M46" s="12" t="str">
        <x:v>R305 露台花园 56×56×49 cm；直径56小于模型G3-T01约58，台高49延续示意；耐候可移动，不未经复尺换65方桌。
活动定制家具；浅木色 / 哑光米白</x:v>
      </x:c>
      <x:c r="N46" s="12"/>
      <x:c r="O46" s="12" t="str">
        <x:v>预算假设：2026-09-10，待实际询价</x:v>
      </x:c>
    </x:row>
    <x:row r="47" ht="39.599998474121094" hidden="0" customHeight="1">
      <x:c r="A47" s="12" t="str">
        <x:v>FN-C13</x:v>
      </x:c>
      <x:c r="B47" s="12" t="str">
        <x:v>定制家具</x:v>
      </x:c>
      <x:c r="C47" s="12" t="str">
        <x:v>主卧矮柜</x:v>
      </x:c>
      <x:c r="D47" s="12" t="str">
        <x:v>定制尺寸规格，无成品型号</x:v>
      </x:c>
      <x:c r="E47" s="18" t="n">
        <x:v>1</x:v>
      </x:c>
      <x:c r="F47" s="13" t="str">
        <x:v>件</x:v>
      </x:c>
      <x:c r="G47" s="20" t="n">
        <x:v>2200</x:v>
      </x:c>
      <x:c r="H47" s="20"/>
      <x:c r="I47" s="22" t="n">
        <x:v>1</x:v>
      </x:c>
      <x:c r="J47" s="23" t="n">
        <x:f>IF(ISBLANK(H47),G47,H47)</x:f>
        <x:v>2200</x:v>
      </x:c>
      <x:c r="K47" s="23" t="n">
        <x:f>E47*J47*I47</x:f>
        <x:v>2200</x:v>
      </x:c>
      <x:c r="L47" s="12" t="str">
        <x:v>设计概算占位，非供应商报价</x:v>
      </x:c>
      <x:c r="M47" s="12" t="str">
        <x:v>R201 主卧 175×40×74 cm
补回模型已有但旧采购表漏列的柜体；保持床尾通行，按完成面复尺。若总木作合同已含本柜，只计一次。</x:v>
      </x:c>
      <x:c r="N47" s="12"/>
      <x:c r="O47" s="12" t="str">
        <x:v>预算假设：2026-09-10，待实际询价</x:v>
      </x:c>
    </x:row>
    <x:row r="48" ht="39.599998474121094" hidden="0" customHeight="1">
      <x:c r="A48" s="24" t="str">
        <x:v>FN-C14</x:v>
      </x:c>
      <x:c r="B48" s="24" t="str">
        <x:v>定制家具</x:v>
      </x:c>
      <x:c r="C48" s="24" t="str">
        <x:v>家政用品柜</x:v>
      </x:c>
      <x:c r="D48" s="24" t="str">
        <x:v>定制尺寸规格，无成品型号</x:v>
      </x:c>
      <x:c r="E48" s="18" t="n">
        <x:v>1</x:v>
      </x:c>
      <x:c r="F48" s="13" t="str">
        <x:v>件</x:v>
      </x:c>
      <x:c r="G48" s="20" t="n">
        <x:v>1500</x:v>
      </x:c>
      <x:c r="H48" s="20"/>
      <x:c r="I48" s="22" t="n">
        <x:v>1</x:v>
      </x:c>
      <x:c r="J48" s="23" t="n">
        <x:f>IF(ISBLANK(H48),G48,H48)</x:f>
        <x:v>1500</x:v>
      </x:c>
      <x:c r="K48" s="23" t="n">
        <x:f>E48*J48*I48</x:f>
        <x:v>1500</x:v>
      </x:c>
      <x:c r="L48" s="12" t="str">
        <x:v>设计概算占位，非供应商报价</x:v>
      </x:c>
      <x:c r="M48" s="12" t="str">
        <x:v>R206 二层休闲/家政区 55×50×185 cm
仅干式清洁用品柜，不含洗烘机包柜或接水改造。原梯区可实施条件明确后订制；若需另找原合法可用墙面，先重新布置。</x:v>
      </x:c>
      <x:c r="N48" s="12"/>
      <x:c r="O48" s="12" t="str">
        <x:v>预算假设：2026-09-10，待实际询价</x:v>
      </x:c>
    </x:row>
    <x:row r="49" ht="66" hidden="0" customHeight="1">
      <x:c r="A49" s="12" t="str">
        <x:v>FN-C15</x:v>
      </x:c>
      <x:c r="B49" s="12" t="str">
        <x:v>定制家具</x:v>
      </x:c>
      <x:c r="C49" s="12" t="str">
        <x:v>完整宣纸与卷轴轻放收纳模块</x:v>
      </x:c>
      <x:c r="D49" s="12" t="str">
        <x:v>按实际纸样定制，无成品型号</x:v>
      </x:c>
      <x:c r="E49" s="18" t="n">
        <x:v>1</x:v>
      </x:c>
      <x:c r="F49" s="13" t="str">
        <x:v>件</x:v>
      </x:c>
      <x:c r="G49" s="20" t="n">
        <x:v>800</x:v>
      </x:c>
      <x:c r="H49" s="20"/>
      <x:c r="I49" s="22" t="n">
        <x:v>1</x:v>
      </x:c>
      <x:c r="J49" s="23" t="n">
        <x:f>IF(ISBLANK(H49),G49,H49)</x:f>
        <x:v>800</x:v>
      </x:c>
      <x:c r="K49" s="23" t="n">
        <x:f>E49*J49*I49</x:f>
        <x:v>800</x:v>
      </x:c>
      <x:c r="L49" s="12" t="str">
        <x:v>设计概算占位，非供应商报价</x:v>
      </x:c>
      <x:c r="M49" s="12" t="str">
        <x:v>R303 书法房 待按实物/纸样定尺寸
完整未书写宣纸只作宽松卷存预案：大直径圆芯/外套筒和独立分格，不紧卷、不捆压、不以其他物品压纸，避潮、避阳光及热源；实际纸性不适宜卷存或已完成作品，应采用相应平放/装裱收纳并另深化。原70×44柜仅收折纸、册页和小幅纸，不宣称可平放68×136整纸。</x:v>
      </x:c>
      <x:c r="N49" s="12"/>
      <x:c r="O49" s="12" t="str">
        <x:v>预算假设：2026-09-10，待实际询价</x:v>
      </x:c>
    </x:row>
    <x:row r="50" ht="39.599998474121094" hidden="0" customHeight="1">
      <x:c r="A50" s="24" t="str">
        <x:v>FN-A01</x:v>
      </x:c>
      <x:c r="B50" s="24" t="str">
        <x:v>家具附加</x:v>
      </x:c>
      <x:c r="C50" s="24" t="str">
        <x:v>床品与保护垫</x:v>
      </x:c>
      <x:c r="D50" s="24" t="str">
        <x:v>预算额度，具体清单待采购</x:v>
      </x:c>
      <x:c r="E50" s="18" t="n">
        <x:v>1</x:v>
      </x:c>
      <x:c r="F50" s="13" t="str">
        <x:v>批</x:v>
      </x:c>
      <x:c r="G50" s="20" t="n">
        <x:v>4000</x:v>
      </x:c>
      <x:c r="H50" s="20"/>
      <x:c r="I50" s="22" t="n">
        <x:v>1</x:v>
      </x:c>
      <x:c r="J50" s="23" t="n">
        <x:f>IF(ISBLANK(H50),G50,H50)</x:f>
        <x:v>4000</x:v>
      </x:c>
      <x:c r="K50" s="23" t="n">
        <x:f>E50*J50*I50</x:f>
        <x:v>4000</x:v>
      </x:c>
      <x:c r="L50" s="12" t="str">
        <x:v>预算预留，非商家报价</x:v>
      </x:c>
      <x:c r="M50" s="12" t="str">
        <x:v>全屋 地址、物品数量及服务范围待核
原5000预算中，为未来儿童床划出1000延后；这是预算分配，不是某SKU的核实售价。</x:v>
      </x:c>
      <x:c r="N50" s="12"/>
      <x:c r="O50" s="12" t="str">
        <x:v>预算假设：2026-09-10，待实际询价</x:v>
      </x:c>
    </x:row>
    <x:row r="51" ht="39.599998474121094" hidden="0" customHeight="1">
      <x:c r="A51" s="12" t="str">
        <x:v>FN-A01-D</x:v>
      </x:c>
      <x:c r="B51" s="12" t="str">
        <x:v>家具附加</x:v>
      </x:c>
      <x:c r="C51" s="12" t="str">
        <x:v>床品与保护垫（延后）</x:v>
      </x:c>
      <x:c r="D51" s="12" t="str">
        <x:v>预算额度，具体清单待采购</x:v>
      </x:c>
      <x:c r="E51" s="18" t="n">
        <x:v>1</x:v>
      </x:c>
      <x:c r="F51" s="13" t="str">
        <x:v>批</x:v>
      </x:c>
      <x:c r="G51" s="20" t="n">
        <x:v>1000</x:v>
      </x:c>
      <x:c r="H51" s="20"/>
      <x:c r="I51" s="22" t="n">
        <x:v>0</x:v>
      </x:c>
      <x:c r="J51" s="23" t="n">
        <x:f>IF(ISBLANK(H51),G51,H51)</x:f>
        <x:v>1000</x:v>
      </x:c>
      <x:c r="K51" s="23" t="n">
        <x:f>E51*J51*I51</x:f>
        <x:v>0</x:v>
      </x:c>
      <x:c r="L51" s="12" t="str">
        <x:v>预算预留，非商家报价</x:v>
      </x:c>
      <x:c r="M51" s="12" t="str">
        <x:v>全屋 地址、物品数量及服务范围待核
原5000预算中，为未来儿童床划出1000延后；这是预算分配，不是某SKU的核实售价。</x:v>
      </x:c>
      <x:c r="N51" s="12"/>
      <x:c r="O51" s="12" t="str">
        <x:v>预算假设：2026-09-10，待实际询价</x:v>
      </x:c>
    </x:row>
    <x:row r="52" ht="39.599998474121094" hidden="0" customHeight="1">
      <x:c r="A52" s="24" t="str">
        <x:v>FN-A02</x:v>
      </x:c>
      <x:c r="B52" s="24" t="str">
        <x:v>家具附加</x:v>
      </x:c>
      <x:c r="C52" s="24" t="str">
        <x:v>家具配送、上楼、组装与基层固定</x:v>
      </x:c>
      <x:c r="D52" s="24" t="str">
        <x:v>预算额度，具体清单待采购</x:v>
      </x:c>
      <x:c r="E52" s="18" t="n">
        <x:v>1</x:v>
      </x:c>
      <x:c r="F52" s="13" t="str">
        <x:v>批</x:v>
      </x:c>
      <x:c r="G52" s="20" t="n">
        <x:v>2500</x:v>
      </x:c>
      <x:c r="H52" s="20"/>
      <x:c r="I52" s="22" t="n">
        <x:v>1</x:v>
      </x:c>
      <x:c r="J52" s="23" t="n">
        <x:f>IF(ISBLANK(H52),G52,H52)</x:f>
        <x:v>2500</x:v>
      </x:c>
      <x:c r="K52" s="23" t="n">
        <x:f>E52*J52*I52</x:f>
        <x:v>2500</x:v>
      </x:c>
      <x:c r="L52" s="12" t="str">
        <x:v>预算预留，非商家报价</x:v>
      </x:c>
      <x:c r="M52" s="12" t="str">
        <x:v>全屋 地址、物品数量及服务范围待核
送装不因少买几件自动等比例下降；分期可能产生第二次配送费，付款前单独核价。</x:v>
      </x:c>
      <x:c r="N52" s="12"/>
      <x:c r="O52" s="12" t="str">
        <x:v>预算假设：2026-09-10，待实际询价</x:v>
      </x:c>
    </x:row>
    <x:row r="53" ht="39.599998474121094" hidden="0" customHeight="1">
      <x:c r="A53" s="12" t="str">
        <x:v>FN-A03</x:v>
      </x:c>
      <x:c r="B53" s="12" t="str">
        <x:v>家具附加</x:v>
      </x:c>
      <x:c r="C53" s="12" t="str">
        <x:v>维护、保护与收纳小件</x:v>
      </x:c>
      <x:c r="D53" s="12" t="str">
        <x:v>预算额度，具体清单待采购</x:v>
      </x:c>
      <x:c r="E53" s="18" t="n">
        <x:v>1</x:v>
      </x:c>
      <x:c r="F53" s="13" t="str">
        <x:v>批</x:v>
      </x:c>
      <x:c r="G53" s="20" t="n">
        <x:v>1000</x:v>
      </x:c>
      <x:c r="H53" s="20"/>
      <x:c r="I53" s="22" t="n">
        <x:v>1</x:v>
      </x:c>
      <x:c r="J53" s="23" t="n">
        <x:f>IF(ISBLANK(H53),G53,H53)</x:f>
        <x:v>1000</x:v>
      </x:c>
      <x:c r="K53" s="23" t="n">
        <x:f>E53*J53*I53</x:f>
        <x:v>1000</x:v>
      </x:c>
      <x:c r="L53" s="12" t="str">
        <x:v>预算预留，非商家报价</x:v>
      </x:c>
      <x:c r="M53" s="12" t="str">
        <x:v>全屋 地址、物品数量及服务范围待核
保留户外坐凳及常用物件的必要保护维护额度，不提前购买未下单桌椅的专用家具罩。</x:v>
      </x:c>
      <x:c r="N53" s="12"/>
      <x:c r="O53" s="12" t="str">
        <x:v>预算假设：2026-09-10，待实际询价</x:v>
      </x:c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</x:sheetData>
  <x:conditionalFormatting sqref="K7:K53">
    <x:cfRule type="cellIs" dxfId="1" priority="1" operator="lessThan">
      <x:formula>0</x:formula>
    </x:cfRule>
  </x:conditionalFormatting>
  <x:dataValidations count="1">
    <x:dataValidation type="whole" operator="between" sqref="I7:I53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4988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38" hidden="0" customWidth="1"/>
    <x:col min="5" max="5" width="9" hidden="0" customWidth="1"/>
    <x:col min="6" max="6" width="9" hidden="0" customWidth="1"/>
    <x:col min="7" max="7" width="14" hidden="0" customWidth="1"/>
    <x:col min="8" max="8" width="14" hidden="0" customWidth="1"/>
    <x:col min="9" max="9" width="10" hidden="0" customWidth="1"/>
    <x:col min="10" max="10" width="14" hidden="0" customWidth="1"/>
    <x:col min="11" max="11" width="16" hidden="0" customWidth="1"/>
    <x:col min="12" max="12" width="26" hidden="0" customWidth="1"/>
    <x:col min="13" max="13" width="60" hidden="0" customWidth="1"/>
    <x:col min="14" max="14" width="3" hidden="0" customWidth="1"/>
    <x:col min="15" max="15" width="5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第6户 家电与卫浴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4" t="str">
        <x:v>人民币元。浅黄为可调输入；正式报价留空时采用预算单价，填0表示有效的零报价。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2" t="str">
        <x:v>本表已计金额</x:v>
      </x:c>
      <x:c r="B4" s="2"/>
      <x:c r="C4" s="2"/>
      <x:c r="D4" s="2"/>
      <x:c r="E4" s="2"/>
      <x:c r="F4" s="2"/>
      <x:c r="G4" s="2"/>
      <x:c r="H4" s="2"/>
      <x:c r="I4" s="2"/>
      <x:c r="J4" s="2"/>
      <x:c r="K4" s="6" t="n">
        <x:f>SUM(K7:K30)</x:f>
        <x:v>114913</x:v>
      </x:c>
      <x:c r="L4" s="2"/>
      <x:c r="M4" s="2"/>
      <x:c r="N4" s="2"/>
      <x:c r="O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9" t="str">
        <x:v>编号</x:v>
      </x:c>
      <x:c r="B6" s="9" t="str">
        <x:v>类别</x:v>
      </x:c>
      <x:c r="C6" s="9" t="str">
        <x:v>项目</x:v>
      </x:c>
      <x:c r="D6" s="9" t="str">
        <x:v>品牌 / 型号 / 货号</x:v>
      </x:c>
      <x:c r="E6" s="9" t="str">
        <x:v>数量</x:v>
      </x:c>
      <x:c r="F6" s="9" t="str">
        <x:v>单位</x:v>
      </x:c>
      <x:c r="G6" s="9" t="str">
        <x:v>预算单价</x:v>
      </x:c>
      <x:c r="H6" s="9" t="str">
        <x:v>正式报价</x:v>
      </x:c>
      <x:c r="I6" s="9" t="str">
        <x:v>计入1/0</x:v>
      </x:c>
      <x:c r="J6" s="9" t="str">
        <x:v>采用单价</x:v>
      </x:c>
      <x:c r="K6" s="9" t="str">
        <x:v>已计金额</x:v>
      </x:c>
      <x:c r="L6" s="9" t="str">
        <x:v>价格类型</x:v>
      </x:c>
      <x:c r="M6" s="9" t="str">
        <x:v>房间与尺寸条件</x:v>
      </x:c>
      <x:c r="N6" s="2"/>
      <x:c r="O6" s="10" t="str">
        <x:v>来源链接与核价日期</x:v>
      </x:c>
    </x:row>
    <x:row r="7" ht="105.5999984741211" hidden="0" customHeight="1">
      <x:c r="A7" s="12" t="str">
        <x:v>AP-A01</x:v>
      </x:c>
      <x:c r="B7" s="12" t="str">
        <x:v>生活家电</x:v>
      </x:c>
      <x:c r="C7" s="12" t="str">
        <x:v>400L窄体冰箱</x:v>
      </x:c>
      <x:c r="D7" s="12" t="str">
        <x:v>海尔 BCD-400WLHD3B9YAU1 云溪米</x:v>
      </x:c>
      <x:c r="E7" s="18" t="n">
        <x:v>1</x:v>
      </x:c>
      <x:c r="F7" s="13" t="str">
        <x:v>台</x:v>
      </x:c>
      <x:c r="G7" s="20" t="n">
        <x:v>5999</x:v>
      </x:c>
      <x:c r="H7" s="20"/>
      <x:c r="I7" s="22" t="n">
        <x:v>1</x:v>
      </x:c>
      <x:c r="J7" s="23" t="n">
        <x:f>IF(ISBLANK(H7),G7,H7)</x:f>
        <x:v>5999</x:v>
      </x:c>
      <x:c r="K7" s="23" t="n">
        <x:f>E7*J7*I7</x:f>
        <x:v>5999</x:v>
      </x:c>
      <x:c r="L7" s="12" t="str">
        <x:v>官网参考价；非已核实到手报价</x:v>
      </x:c>
      <x:c r="M7" s="12" t="str">
        <x:v>R106 厨房 现模型冰箱占位660×730×2040毫米，机体外廓小于占位；不等于已核定安装净空。抽屉拉出、门铰链开启角、插头和背部散热必须按本机安装图复核。；220V/50Hz接地插座，避免与会断电的普通照明回路混接；确认厨房门、电梯轿厢和搬运转角；制造商通风要求优先；400L按当前4人日常采购安排；未来6人长期囤货需求可另评估，主方案不叠加第二冰箱
单台设备参考价；另计：配送上楼、安装附材和旧机处置是否包含未确认；不含橱柜</x:v>
      </x:c>
      <x:c r="N7" s="12"/>
      <x:c r="O7" s="12" t="str">
        <x:v>https://www.haier.com/cooling/20260428_289874.shtml
核对：2026-09-10</x:v>
      </x:c>
    </x:row>
    <x:row r="8" ht="79.19999694824219" hidden="0" customHeight="1">
      <x:c r="A8" s="24" t="str">
        <x:v>AP-A02</x:v>
      </x:c>
      <x:c r="B8" s="24" t="str">
        <x:v>生活家电</x:v>
      </x:c>
      <x:c r="C8" s="24" t="str">
        <x:v>吸油烟机</x:v>
      </x:c>
      <x:c r="D8" s="24" t="str">
        <x:v>海尔 CXW-358-E900T81UD</x:v>
      </x:c>
      <x:c r="E8" s="18" t="n">
        <x:v>1</x:v>
      </x:c>
      <x:c r="F8" s="13" t="str">
        <x:v>台</x:v>
      </x:c>
      <x:c r="G8" s="20" t="n">
        <x:v>2999</x:v>
      </x:c>
      <x:c r="H8" s="20"/>
      <x:c r="I8" s="22" t="n">
        <x:v>1</x:v>
      </x:c>
      <x:c r="J8" s="23" t="n">
        <x:f>IF(ISBLANK(H8),G8,H8)</x:f>
        <x:v>2999</x:v>
      </x:c>
      <x:c r="K8" s="23" t="n">
        <x:f>E8*J8*I8</x:f>
        <x:v>2999</x:v>
      </x:c>
      <x:c r="L8" s="12" t="str">
        <x:v>官网参考价</x:v>
      </x:c>
      <x:c r="M8" s="12" t="str">
        <x:v>R106 厨房 需将895毫米烟机外宽和安装高度落入橱柜立面；当前图示不代表吊柜已开好孔。；预留电源、可拆烟管及止逆阀检修；复核烟道接口、管径/路径和公共烟道阻力；28m³/min等标称值不能替代系统校核；厂家安装图确认灶面至烟机的高度及检修空间
烟机设备参考价；另计：烟管加长、止逆阀、墙孔、吊柜改造及特殊安装未确认</x:v>
      </x:c>
      <x:c r="N8" s="12"/>
      <x:c r="O8" s="12" t="str">
        <x:v>https://www.haier.com/kitchen_appliances/xyyj/20260311_287621.shtml
核对：2026-09-10</x:v>
      </x:c>
    </x:row>
    <x:row r="9" ht="79.19999694824219" hidden="0" customHeight="1">
      <x:c r="A9" s="12" t="str">
        <x:v>AP-A03</x:v>
      </x:c>
      <x:c r="B9" s="12" t="str">
        <x:v>生活家电</x:v>
      </x:c>
      <x:c r="C9" s="12" t="str">
        <x:v>双眼燃气灶</x:v>
      </x:c>
      <x:c r="D9" s="12" t="str">
        <x:v>海尔 JZT-Q2BE6(12T)</x:v>
      </x:c>
      <x:c r="E9" s="18" t="n">
        <x:v>1</x:v>
      </x:c>
      <x:c r="F9" s="13" t="str">
        <x:v>台</x:v>
      </x:c>
      <x:c r="G9" s="20" t="n">
        <x:v>999</x:v>
      </x:c>
      <x:c r="H9" s="20"/>
      <x:c r="I9" s="22" t="n">
        <x:v>1</x:v>
      </x:c>
      <x:c r="J9" s="23" t="n">
        <x:f>IF(ISBLANK(H9),G9,H9)</x:f>
        <x:v>999</x:v>
      </x:c>
      <x:c r="K9" s="23" t="n">
        <x:f>E9*J9*I9</x:f>
        <x:v>999</x:v>
      </x:c>
      <x:c r="L9" s="12" t="str">
        <x:v>官网参考价；天然气版本</x:v>
      </x:c>
      <x:c r="M9" s="12" t="str">
        <x:v>R106 厨房 必须拿本机开孔模板校对台面，650×350毫米不能按模型中灶具外轮廓施工；玻璃台面边距和圆角按模板。；确认实际气源为12T天然气；页面额定燃气压力2000Pa；持证燃气安装，气密试验；橱柜进风、阀门、报警切断按当地气源方案；尚无气源确认，不能购买液化气版顶替
灶具设备参考价；另计：燃气开户/改管、连接管与阀件及安装以书面报价为准</x:v>
      </x:c>
      <x:c r="N9" s="12"/>
      <x:c r="O9" s="12" t="str">
        <x:v>https://www.haier.com/kitchen_appliances/rqz/20240328_236731.shtml
核对：2026-09-10</x:v>
      </x:c>
    </x:row>
    <x:row r="10" ht="118.80000305175781" hidden="0" customHeight="1">
      <x:c r="A10" s="24" t="str">
        <x:v>AP-A04</x:v>
      </x:c>
      <x:c r="B10" s="24" t="str">
        <x:v>生活家电</x:v>
      </x:c>
      <x:c r="C10" s="24" t="str">
        <x:v>15套洗碗机</x:v>
      </x:c>
      <x:c r="D10" s="24" t="str">
        <x:v>米家智能独嵌两用洗碗机15套 S1</x:v>
      </x:c>
      <x:c r="E10" s="18" t="n">
        <x:v>1</x:v>
      </x:c>
      <x:c r="F10" s="13" t="str">
        <x:v>台</x:v>
      </x:c>
      <x:c r="G10" s="20" t="n">
        <x:v>3499</x:v>
      </x:c>
      <x:c r="H10" s="20"/>
      <x:c r="I10" s="22" t="n">
        <x:v>1</x:v>
      </x:c>
      <x:c r="J10" s="23" t="n">
        <x:f>IF(ISBLANK(H10),G10,H10)</x:f>
        <x:v>3499</x:v>
      </x:c>
      <x:c r="K10" s="23" t="n">
        <x:f>E10*J10*I10</x:f>
        <x:v>3499</x:v>
      </x:c>
      <x:c r="L10" s="12" t="str">
        <x:v>预算预留；本次未取得可核实中国现价</x:v>
      </x:c>
      <x:c r="M10" s="12" t="str">
        <x:v>R106 厨房 现模型仅有520毫米宽洗碗机示意面板，不是600毫米净柜格；本型号须在原厨房边界内调整柜格后采购。需厂家复核软管占位和门完全放平后的前方空间。；官网安装说明要求右侧排气口不遮挡，背下部按图留100×80毫米管线孔；邻柜可检修接地10A插座，进水三通和带洗碗机接口存水弯；插座不藏在不可拔插的机背；厂家说明分有/无顶板安装条件；现场完成面净高和柜脚一起复核；橱柜深化未通过前不得按600毫米外廓硬挤安装
设备预算；官方说明列标准首装及部分标准附件；另计：柜格调整、开孔、超长水管/电线、特殊安装和当地最终服务项目需另询价</x:v>
      </x:c>
      <x:c r="N10" s="12"/>
      <x:c r="O10" s="12" t="str">
        <x:v>https://cdn.cnbj1.fds.api.mi-img.com/ics-resources/articles/62afd589a1a516d35d85481d.html
核对：2026-09-10</x:v>
      </x:c>
    </x:row>
    <x:row r="11" ht="118.80000305175781" hidden="0" customHeight="1">
      <x:c r="A11" s="12" t="str">
        <x:v>AP-A05</x:v>
      </x:c>
      <x:c r="B11" s="12" t="str">
        <x:v>生活家电</x:v>
      </x:c>
      <x:c r="C11" s="12" t="str">
        <x:v>洗衣机+热泵烘干机</x:v>
      </x:c>
      <x:c r="D11" s="12" t="str">
        <x:v>海尔 G10090BD12S + GA120-58E1U1</x:v>
      </x:c>
      <x:c r="E11" s="18" t="n">
        <x:v>1</x:v>
      </x:c>
      <x:c r="F11" s="13" t="str">
        <x:v>组</x:v>
      </x:c>
      <x:c r="G11" s="20" t="n">
        <x:v>7198</x:v>
      </x:c>
      <x:c r="H11" s="20"/>
      <x:c r="I11" s="22" t="n">
        <x:v>1</x:v>
      </x:c>
      <x:c r="J11" s="23" t="n">
        <x:f>IF(ISBLANK(H11),G11,H11)</x:f>
        <x:v>7198</x:v>
      </x:c>
      <x:c r="K11" s="23" t="n">
        <x:f>E11*J11*I11</x:f>
        <x:v>7198</x:v>
      </x:c>
      <x:c r="L11" s="12" t="str">
        <x:v>两台官网参考价相加：2899+4299</x:v>
      </x:c>
      <x:c r="M11" s="12" t="str">
        <x:v>R206 二层休闲/家政区 现方案洗衣位涉及原非湿区/楼梯区域，启用要先完成建筑方案及给排水、防水审批和深化。两台同宽不代表可以直接叠放。；取得海尔针对这两个准确型号的叠放兼容与专用连接件确认；否则并排布置并重核柜位；冷热环境、维护通风、进水龙头、存水弯/排水和漏水报警共同深化；两台分别设置合规接地电源，核对同时运行负荷；烘干机选集水盒或厂家允许的排水方式；地面找平承载/振动、吊柜检修和搬运净空必须复核
洗衣机2899、烘干机4299设备参考价；另计：叠放架、排水改造、防水、专用插座和附加安装未计入设备价；组成：G10090BD12S ×1；GA120-58E1U1 ×1</x:v>
      </x:c>
      <x:c r="N11" s="12"/>
      <x:c r="O11" s="12" t="str">
        <x:v>https://www.haier.com/laundry/20240604_238924.shtml
核对：2026-09-10</x:v>
      </x:c>
    </x:row>
    <x:row r="12" ht="105.5999984741211" hidden="0" customHeight="1">
      <x:c r="A12" s="24" t="str">
        <x:v>AP-A06</x:v>
      </x:c>
      <x:c r="B12" s="24" t="str">
        <x:v>生活家电</x:v>
      </x:c>
      <x:c r="C12" s="24" t="str">
        <x:v>客厅75英寸电视</x:v>
      </x:c>
      <x:c r="D12" s="24" t="str">
        <x:v>海尔 75D50</x:v>
      </x:c>
      <x:c r="E12" s="18" t="n">
        <x:v>1</x:v>
      </x:c>
      <x:c r="F12" s="13" t="str">
        <x:v>台</x:v>
      </x:c>
      <x:c r="G12" s="20" t="n">
        <x:v>4000</x:v>
      </x:c>
      <x:c r="H12" s="20"/>
      <x:c r="I12" s="22" t="n">
        <x:v>1</x:v>
      </x:c>
      <x:c r="J12" s="23" t="n">
        <x:f>IF(ISBLANK(H12),G12,H12)</x:f>
        <x:v>4000</x:v>
      </x:c>
      <x:c r="K12" s="23" t="n">
        <x:f>E12*J12*I12</x:f>
        <x:v>4000</x:v>
      </x:c>
      <x:c r="L12" s="12" t="str">
        <x:v>设备预算3500+壁挂架/标准安装预留500；未核实当前售价</x:v>
      </x:c>
      <x:c r="M12" s="12" t="str">
        <x:v>R104 客厅 模型屏幕1720毫米宽、电视柜2300毫米宽；本机宽1667毫米小于两者，但固定位置、墙体锚固和观看距离仍待复尺。2024年产品页仍可查，在售库存待核，不标为2026新款。；确认墙体类型、支架孔距和承重；预埋电源/网线及可更换HDMI管；不为电视移动原有门窗；现场坐姿确定屏幕中心；若用脚架放在400毫米深电视柜上，330毫米脚架深度仍需留前后安全余量
单台设备与普通壁挂安装预算；另计：特殊墙体加固、饰面修复、音响与机顶盒；设备价不是官方报价</x:v>
      </x:c>
      <x:c r="N12" s="12"/>
      <x:c r="O12" s="12" t="str">
        <x:v>https://www.haier.com/televisions/20240308_236087.shtml
核对：2026-09-10</x:v>
      </x:c>
    </x:row>
    <x:row r="13" ht="145.1999969482422" hidden="0" customHeight="1">
      <x:c r="A13" s="12" t="str">
        <x:v>AP-A07</x:v>
      </x:c>
      <x:c r="B13" s="12" t="str">
        <x:v>卫浴洁具</x:v>
      </x:c>
      <x:c r="C13" s="12" t="str">
        <x:v>五套普通节水坐便器，父母/主卫与其他房间分档</x:v>
      </x:c>
      <x:c r="D13" s="12" t="str">
        <x:v>九牧11396KD ×2（父母/主卫）；11370KE ×3（公卫/儿童/妹妹），305/400坑距逐间实测选版</x:v>
      </x:c>
      <x:c r="E13" s="18" t="n">
        <x:v>1</x:v>
      </x:c>
      <x:c r="F13" s="13" t="str">
        <x:v>组</x:v>
      </x:c>
      <x:c r="G13" s="20" t="n">
        <x:v>5600</x:v>
      </x:c>
      <x:c r="H13" s="20"/>
      <x:c r="I13" s="22" t="n">
        <x:v>1</x:v>
      </x:c>
      <x:c r="J13" s="23" t="n">
        <x:f>IF(ISBLANK(H13),G13,H13)</x:f>
        <x:v>5600</x:v>
      </x:c>
      <x:c r="K13" s="23" t="n">
        <x:f>E13*J13*I13</x:f>
        <x:v>5600</x:v>
      </x:c>
      <x:c r="L13" s="12" t="str">
        <x:v>整组预算：2×1300+3×1000；不是九牧现价，未使用过期618价、国补或满件折扣</x:v>
      </x:c>
      <x:c r="M13" s="12" t="str">
        <x:v>R102 父母卫浴、R103 一层公卫、R203 主卫、R205 儿童卫浴、R302 妹妹卫浴 保留5个原卫浴内的坐便功能；候选国产普通马桶无电控。完整外廓尚未取得厂家尺寸图，现模型不得据此缩减净空。父母/主卫先试坐确认座圈尺寸和起坐高度。；每间按完成墙面量坑距、排污中心、前方及侧方净空，再确定305或400版本；官网11396有KC、KD和含/不含安装版本，主选明确11396KD；11370主选11370KE，不接受泛写11370系列；商家须提供缓降座圈、水件、密封件及安装的完整包含清单；网页显示库存0且未选地址，须确认杭州供货；不为适配马桶迁移原排污立管或破坏已验收防水；智能盖仅预留合规电源不计入本期
五套普通坐便器、普通缓降座圈、常规密封安装附件的预算；地方安装若不含须从预算明确分摊；另计：智能盖板、坑距移位、结构开孔和防水返工；未取得可直接下单的本地套餐报价；组成：九牧11396KD ×2；九牧11370KE ×3</x:v>
      </x:c>
      <x:c r="N13" s="12"/>
      <x:c r="O13" s="12" t="str">
        <x:v>https://www.ejomoo.com.cn/item/11396.htm
核对：2026-09-10</x:v>
      </x:c>
    </x:row>
    <x:row r="14" ht="132" hidden="0" customHeight="1">
      <x:c r="A14" s="24" t="str">
        <x:v>AP-A08</x:v>
      </x:c>
      <x:c r="B14" s="24" t="str">
        <x:v>卫浴洁具</x:v>
      </x:c>
      <x:c r="C14" s="24" t="str">
        <x:v>五间卫浴台盆柜组合</x:v>
      </x:c>
      <x:c r="D14" s="24" t="str">
        <x:v>宜家 ENHET/TVÄLLEN 396.159.36 ×4 + 996.160.42 ×1</x:v>
      </x:c>
      <x:c r="E14" s="18" t="n">
        <x:v>1</x:v>
      </x:c>
      <x:c r="F14" s="13" t="str">
        <x:v>组</x:v>
      </x:c>
      <x:c r="G14" s="20" t="n">
        <x:v>6400</x:v>
      </x:c>
      <x:c r="H14" s="20"/>
      <x:c r="I14" s="22" t="n">
        <x:v>1</x:v>
      </x:c>
      <x:c r="J14" s="23" t="n">
        <x:f>IF(ISBLANK(H14),G14,H14)</x:f>
        <x:v>6400</x:v>
      </x:c>
      <x:c r="K14" s="23" t="n">
        <x:f>E14*J14*I14</x:f>
        <x:v>6400</x:v>
      </x:c>
      <x:c r="L14" s="12" t="str">
        <x:v>官网显示组合价5400；另预留1000元把手、支腿/墙固和附件</x:v>
      </x:c>
      <x:c r="M14" s="12" t="str">
        <x:v>R102 父母卫浴、R103 一层公卫、R203 主卫、R205 儿童卫浴、R302 妹妹卫浴 主卫、父母、儿童、妹妹各64厘米；公卫44厘米。小于模型约650–690毫米主盆柜和600毫米公卫柜外宽，但安装完成高度、门/抽屉、窗洞和墙体承重仍需复尺。；柜体为木质板材，置于有效干湿分区一侧，不受淋浴直冲；不能称为全防水柜；配套RÄNNILEN下水管，复核墙/地排位置及抽屉避管空间；墙挂需合适基层与锚固；必要时用配套支腿且仍按说明固定到墙；650毫米是组合自身高度，不是完成面离地台盆高度
4×1100+1×1000的柜体、陶瓷盆和配套下水管；额外附件预算1000；另计：龙头另列A09，镜柜另列A10；重做墙体和防水不在商品价内；组成：396.159.36 ×4；996.160.42 ×1；把手/支腿/墙固附件待随柜选择 ×1</x:v>
      </x:c>
      <x:c r="N14" s="12"/>
      <x:c r="O14" s="12" t="str">
        <x:v>https://www.ikea.cn/cn/zh/p/enhet-an-na-te-tvaellen-te-wei-lun-xi-lian-chi-jia-dai-men-xi-lian-chi-bai-se-s39615936/
核对：2026-09-10</x:v>
      </x:c>
    </x:row>
    <x:row r="15" ht="92.4000015258789" hidden="0" customHeight="1">
      <x:c r="A15" s="12" t="str">
        <x:v>AP-A09</x:v>
      </x:c>
      <x:c r="B15" s="12" t="str">
        <x:v>卫浴洁具</x:v>
      </x:c>
      <x:c r="C15" s="12" t="str">
        <x:v>五只国产面盆龙头</x:v>
      </x:c>
      <x:c r="D15" s="12" t="str">
        <x:v>九牧32846 亮银1B</x:v>
      </x:c>
      <x:c r="E15" s="18" t="n">
        <x:v>5</x:v>
      </x:c>
      <x:c r="F15" s="13" t="str">
        <x:v>只</x:v>
      </x:c>
      <x:c r="G15" s="20" t="n">
        <x:v>350</x:v>
      </x:c>
      <x:c r="H15" s="20"/>
      <x:c r="I15" s="22" t="n">
        <x:v>1</x:v>
      </x:c>
      <x:c r="J15" s="23" t="n">
        <x:f>IF(ISBLANK(H15),G15,H15)</x:f>
        <x:v>350</x:v>
      </x:c>
      <x:c r="K15" s="23" t="n">
        <x:f>E15*J15*I15</x:f>
        <x:v>1750</x:v>
      </x:c>
      <x:c r="L15" s="12" t="str">
        <x:v>每只预算350元；官网商品页曾显示338元，未选地区/库存0，不能标为已核实可成交现价</x:v>
      </x:c>
      <x:c r="M15" s="12" t="str">
        <x:v>R102 父母卫浴、R103 一层公卫、R203 主卫、R205 儿童卫浴、R302 妹妹卫浴 继续搭配原候选TVÄLLEN陶瓷盆，但单孔直径、龙头高度和水流落点尚待厂家图与样品复核。；确认单孔台盆安装孔径、台面厚度和出水嘴投影，防止水流冲盆沿；冷热水角阀保留检修，按确切型号核对连接软管规格及是否随箱；选亮银1B，避免把不同颜色或活动起价当同一SKU；不要使用已失效的首页239元秒杀链接
5只龙头设备预算；标准连接件是否随箱须书面确认；另计：角阀、安装人工和加长软管按合同另核</x:v>
      </x:c>
      <x:c r="N15" s="12"/>
      <x:c r="O15" s="12" t="str">
        <x:v>https://www.ejomoo.com/item/32846.htm
核对：2026-09-10</x:v>
      </x:c>
    </x:row>
    <x:row r="16" ht="79.19999694824219" hidden="0" customHeight="1">
      <x:c r="A16" s="24" t="str">
        <x:v>AP-A10</x:v>
      </x:c>
      <x:c r="B16" s="24" t="str">
        <x:v>卫浴洁具</x:v>
      </x:c>
      <x:c r="C16" s="24" t="str">
        <x:v>卫浴镜柜</x:v>
      </x:c>
      <x:c r="D16" s="24" t="str">
        <x:v>宜家 ENHET 安纳特 893.965.78 煤黑</x:v>
      </x:c>
      <x:c r="E16" s="18" t="n">
        <x:v>5</x:v>
      </x:c>
      <x:c r="F16" s="13" t="str">
        <x:v>只</x:v>
      </x:c>
      <x:c r="G16" s="20" t="n">
        <x:v>399</x:v>
      </x:c>
      <x:c r="H16" s="20"/>
      <x:c r="I16" s="22" t="n">
        <x:v>1</x:v>
      </x:c>
      <x:c r="J16" s="23" t="n">
        <x:f>IF(ISBLANK(H16),G16,H16)</x:f>
        <x:v>399</x:v>
      </x:c>
      <x:c r="K16" s="23" t="n">
        <x:f>E16*J16*I16</x:f>
        <x:v>1995</x:v>
      </x:c>
      <x:c r="L16" s="12" t="str">
        <x:v>中国官方商城显示价</x:v>
      </x:c>
      <x:c r="M16" s="12" t="str">
        <x:v>R102 父母卫浴、R103 一层公卫、R203 主卫、R205 儿童卫浴、R302 妹妹卫浴 需复核每间墙面。尤其公卫镜柜600毫米宽会宽于440毫米台盆，必须校核北窗、开门和门扇；不足则改窄镜，按替换差额调预算。不是已确认五处可装。；牢固墙挂并检查瓷砖后基层；镜柜前开门不能碰窗、龙头或人脸活动区；镜前补光应在照明深化中配适湿区产品，本镜柜无内置灯
5个镜柜显示价；另计：螺栓适配墙体、安装人工和镜前灯</x:v>
      </x:c>
      <x:c r="N16" s="12"/>
      <x:c r="O16" s="12" t="str">
        <x:v>https://www.ikea.cn/cn/zh/p/enhet-an-na-te-jing-gui-mei-hei-se-s89396578/
核对：2026-09-10</x:v>
      </x:c>
    </x:row>
    <x:row r="17" ht="145.1999969482422" hidden="0" customHeight="1">
      <x:c r="A17" s="12" t="str">
        <x:v>AP-A11</x:v>
      </x:c>
      <x:c r="B17" s="12" t="str">
        <x:v>卫浴洁具</x:v>
      </x:c>
      <x:c r="C17" s="12" t="str">
        <x:v>四处淋浴分档配置</x:v>
      </x:c>
      <x:c r="D17" s="12" t="str">
        <x:v>九牧26195恒温款×2（父母/主卫）；36669亮银1B普通款×2（儿童/妹妹）</x:v>
      </x:c>
      <x:c r="E17" s="18" t="n">
        <x:v>1</x:v>
      </x:c>
      <x:c r="F17" s="13" t="str">
        <x:v>组</x:v>
      </x:c>
      <x:c r="G17" s="20" t="n">
        <x:v>7000</x:v>
      </x:c>
      <x:c r="H17" s="20"/>
      <x:c r="I17" s="22" t="n">
        <x:v>1</x:v>
      </x:c>
      <x:c r="J17" s="23" t="n">
        <x:f>IF(ISBLANK(H17),G17,H17)</x:f>
        <x:v>7000</x:v>
      </x:c>
      <x:c r="K17" s="23" t="n">
        <x:f>E17*J17*I17</x:f>
        <x:v>7000</x:v>
      </x:c>
      <x:c r="L17" s="12" t="str">
        <x:v>套组预算：2×2400+2×1100；网页促销/颜色/安装条件不一致，未把低起价当四套安装总价</x:v>
      </x:c>
      <x:c r="M17" s="12" t="str">
        <x:v>R102 父母卫浴、R203 主卫、R205 儿童卫浴、R302 妹妹卫浴 保持4处原淋浴位置。父母和主卫采用恒温、带手持的26195；其他两间采用可维护的普通混水花洒。公卫不加淋浴。；26195页面列36厘米置物台与30厘米顶喷；勿把26209的45厘米台/32厘米顶喷误当26195，完整安装图仍待厂家提供；36669亮银1B在官网明确不包安装，预算须留出人工；不可只看枪灰包安装标题；取得整套手持、软管、阀体清单和冷热管距/高度图，按三楼动态水压及实际热水能力确定是否可用恒温款；普通混水花洒与热源控温一起调试，设置家庭合适热水温度并试用，不假定省掉恒温阀即可忽略烫伤风险
两套26195恒温完整花洒与两套36669普通完整花洒及基础安装附件的整组预算；另计：淋浴玻璃、地漏、防水、结构钻孔；原14,000元四套TOTO预算仅作为升级备选，不与本项相加；组成：九牧26195 ×2；九牧36669 亮银1B ×2</x:v>
      </x:c>
      <x:c r="N17" s="12"/>
      <x:c r="O17" s="12" t="str">
        <x:v>https://www.ejomoo.com/item/26195.htm
核对：2026-09-10</x:v>
      </x:c>
    </x:row>
    <x:row r="18" ht="105.5999984741211" hidden="0" customHeight="1">
      <x:c r="A18" s="24" t="str">
        <x:v>AP-A12</x:v>
      </x:c>
      <x:c r="B18" s="24" t="str">
        <x:v>卫浴洁具</x:v>
      </x:c>
      <x:c r="C18" s="24" t="str">
        <x:v>厨房不锈钢单槽+抽拉龙头</x:v>
      </x:c>
      <x:c r="D18" s="24" t="str">
        <x:v>宜家 LÅNGUDDEN 491.574.81 + MAJSJÖN 606.104.61</x:v>
      </x:c>
      <x:c r="E18" s="18" t="n">
        <x:v>1</x:v>
      </x:c>
      <x:c r="F18" s="13" t="str">
        <x:v>组</x:v>
      </x:c>
      <x:c r="G18" s="20" t="n">
        <x:v>1848</x:v>
      </x:c>
      <x:c r="H18" s="20"/>
      <x:c r="I18" s="22" t="n">
        <x:v>1</x:v>
      </x:c>
      <x:c r="J18" s="23" t="n">
        <x:f>IF(ISBLANK(H18),G18,H18)</x:f>
        <x:v>1848</x:v>
      </x:c>
      <x:c r="K18" s="23" t="n">
        <x:f>E18*J18*I18</x:f>
        <x:v>1848</x:v>
      </x:c>
      <x:c r="L18" s="12" t="str">
        <x:v>中国官方商城显示价：549+1299</x:v>
      </x:c>
      <x:c r="M18" s="12" t="str">
        <x:v>R106 厨房 采用500×400毫米内盆方便锅具清洗；模型水槽仍是示意，600毫米柜体与540×510毫米台面开孔须由橱柜深化在原厨房内确认。；水槽官网含LILLVIKEN排水及洗碗机接口；按说明连接并做满水、排水渗漏试验；抽拉龙头重锤和软管应有自由行程，不被垃圾桶/洗碗机接口卡住；龙头可安装台面厚度≤55毫米；台面前后实边、龙头孔与水槽开孔保持厂家要求间距
单槽+配套下水549元，抽拉龙头1299元；另计：安装人工、角阀、胶、台面加工和洗碗机配管改造</x:v>
      </x:c>
      <x:c r="N18" s="12"/>
      <x:c r="O18" s="12" t="str">
        <x:v>https://www.ikea.cn/cn/zh/p/langudden-lan-jia-dun-qian-ru-shi-shui-cao-dai-1-ge-cao-bu-xiu-gang-s49157481/
核对：2026-09-10</x:v>
      </x:c>
    </x:row>
    <x:row r="19" ht="184.8000030517578" hidden="0" customHeight="1">
      <x:c r="A19" s="12" t="str">
        <x:v>AP-A13</x:v>
      </x:c>
      <x:c r="B19" s="12" t="str">
        <x:v>照明</x:v>
      </x:c>
      <x:c r="C19" s="12" t="str">
        <x:v>30个基础灯位：国产简洁主灯及适用湿区/户外灯</x:v>
      </x:c>
      <x:c r="D19" s="12" t="str">
        <x:v>室内干区米家D40×4、D30×14作可调光系列候选；厨房/卫浴/户外按防护选型</x:v>
      </x:c>
      <x:c r="E19" s="18" t="n">
        <x:v>1</x:v>
      </x:c>
      <x:c r="F19" s="13" t="str">
        <x:v>组</x:v>
      </x:c>
      <x:c r="G19" s="20" t="n">
        <x:v>8990</x:v>
      </x:c>
      <x:c r="H19" s="20"/>
      <x:c r="I19" s="22" t="n">
        <x:v>1</x:v>
      </x:c>
      <x:c r="J19" s="23" t="n">
        <x:f>IF(ISBLANK(H19),G19,H19)</x:f>
        <x:v>8990</x:v>
      </x:c>
      <x:c r="K19" s="23" t="n">
        <x:f>E19*J19*I19</x:f>
        <x:v>8990</x:v>
      </x:c>
      <x:c r="L19" s="12" t="str">
        <x:v>细项设计预算：D40 4×430+D30 14×330+厨房2×200+卫浴5×200+户外5×250；并非厂家当前报价</x:v>
      </x:c>
      <x:c r="M19" s="12" t="str">
        <x:v>全屋P02基础灯位 全屋P02基础灯位 保留P02全部30个基础灯位，不统一每处装同样大的灯。18个干区以国产D系列作为供货候选，按原位逐区计算照度后确定D30/D40数量组合；4+14是数量预算，不是已验证照度。；官方入口已确认L60、D40和D30套系存在，未取得有效单灯现价；上述430/330为预算，不沿用2024首发价；干区候选需供应商提交准确中国版本、外形、光通量、调光调色和安装说明；不将港台版参数直接用于大陆采购；湿区和户外仍独立预算并核安装分区防护，米家普通干区灯不能替代；厨房/卫浴灯宜简洁易清洁；不做无主灯满吊顶，不增加装饰线性灯；保留足够照度、好显色与可维护接线。开关/驱动兼容性须按最终型号确认
30套基础灯具预算；每个功能位置保留，有效减少品牌/装饰溢价；另计：照明电线、开关插座和人工归施工合同；A14工作灯、A15床头灯、A19补光另计；组成：米家D40中国版候选 ×4；米家D30中国版候选 ×14；防护/清洁性与照度选型待定 ×2；按湿区安装分区选型 ×5；合格防雨灯，优先IP65并核实际工况 ×5</x:v>
      </x:c>
      <x:c r="N19" s="12"/>
      <x:c r="O19" s="12" t="str">
        <x:v>https://www.mi.com/shop/buy/detail?cfrom=search&amp;product_id=22569
核对：2026-09-10</x:v>
      </x:c>
    </x:row>
    <x:row r="20" ht="145.1999969482422" hidden="0" customHeight="1">
      <x:c r="A20" s="24" t="str">
        <x:v>AP-A14</x:v>
      </x:c>
      <x:c r="B20" s="24" t="str">
        <x:v>照明</x:v>
      </x:c>
      <x:c r="C20" s="24" t="str">
        <x:v>六盏功能工作台灯</x:v>
      </x:c>
      <x:c r="D20" s="24" t="str">
        <x:v>明基 WiT 2023/e-Reading 圆底座款×3；米家台灯Pro MJTD02YL×3</x:v>
      </x:c>
      <x:c r="E20" s="18" t="n">
        <x:v>1</x:v>
      </x:c>
      <x:c r="F20" s="13" t="str">
        <x:v>组</x:v>
      </x:c>
      <x:c r="G20" s="20" t="n">
        <x:v>6300</x:v>
      </x:c>
      <x:c r="H20" s="20"/>
      <x:c r="I20" s="22" t="n">
        <x:v>1</x:v>
      </x:c>
      <x:c r="J20" s="23" t="n">
        <x:f>IF(ISBLANK(H20),G20,H20)</x:f>
        <x:v>6300</x:v>
      </x:c>
      <x:c r="K20" s="23" t="n">
        <x:f>E20*J20*I20</x:f>
        <x:v>6300</x:v>
      </x:c>
      <x:c r="L20" s="12" t="str">
        <x:v>明基3×1600、米家3×500均为预算预留；本次未核实有效现价</x:v>
      </x:c>
      <x:c r="M20" s="12" t="str">
        <x:v>R303 书法房、R304 妈妈毛线工作室、R108 爸爸操盘房、R204 未来儿童房、R301 妹妹卧室 书法1940毫米桌放2盏WiT分区照明，毛线工作1650毫米桌1盏照实际工作区；操盘、妹妹及未来儿童桌各1盏米家。并非1盏保证整张大桌全部达标。；明基官方90厘米宽500lux是特定安装高度的测试条件，现场按书写手别、纸面反射与照度测量摆灯；米家MJTD02YL规格仍可核查但当前中国库存待确认，若停产换同等显色/稳定性产品并复核报价；操盘桌灯避开显示器反光和支架运动；儿童桌灯电线固定避免拖拽；花房毛线区必须为干燥室内工作区域，普通台灯不放浇水或雨淋处
6盏桌灯设备预留，配原厂电源适配器；另计：额外夹座/支架、智能网关、家具和线路；组成：BenQ WiT 2023 圆底座款 ×3；米家台灯Pro MJTD02YL ×3</x:v>
      </x:c>
      <x:c r="N20" s="12"/>
      <x:c r="O20" s="12" t="str">
        <x:v>https://www.benq.com.cn/zh-cn/lighting/e-reading-desk-lamp/e-reading/spec.html
核对：2026-09-10</x:v>
      </x:c>
    </x:row>
    <x:row r="21" ht="79.19999694824219" hidden="0" customHeight="1">
      <x:c r="A21" s="12" t="str">
        <x:v>AP-A15</x:v>
      </x:c>
      <x:c r="B21" s="12" t="str">
        <x:v>照明</x:v>
      </x:c>
      <x:c r="C21" s="12" t="str">
        <x:v>六盏床头阅读灯及光源</x:v>
      </x:c>
      <x:c r="D21" s="12" t="str">
        <x:v>宜家 NYMÅNE 603.569.88 白色 + 兼容可调光GU10灯泡</x:v>
      </x:c>
      <x:c r="E21" s="18" t="n">
        <x:v>6</x:v>
      </x:c>
      <x:c r="F21" s="13" t="str">
        <x:v>套</x:v>
      </x:c>
      <x:c r="G21" s="20" t="n">
        <x:v>189</x:v>
      </x:c>
      <x:c r="H21" s="20"/>
      <x:c r="I21" s="22" t="n">
        <x:v>1</x:v>
      </x:c>
      <x:c r="J21" s="23" t="n">
        <x:f>IF(ISBLANK(H21),G21,H21)</x:f>
        <x:v>189</x:v>
      </x:c>
      <x:c r="K21" s="23" t="n">
        <x:f>E21*J21*I21</x:f>
        <x:v>1134</x:v>
      </x:c>
      <x:c r="L21" s="12" t="str">
        <x:v>灯体官方149元；每只可调光GU10灯泡预算40元</x:v>
      </x:c>
      <x:c r="M21" s="12" t="str">
        <x:v>R101 父母卧室、R201 主卧、R204 未来儿童房、R301 妹妹卧室 父母两侧2、夫妻两侧2、妹妹1、未来儿童1；壁挂高度以床头实际坐姿与伸手距离定，避免灯体进入通道。；只能搭配可调光GU10光源且不超过8.5W，预算光源不是已定厂牌SKU；配有电线，床头插座与开关操作距离在点位深化中补足；宜家不含墙面安装螺钉，按基层配锚固；儿童位置固定软线
灯体6×149与6只合适光源预算240；另计：床头电源插座、墙内线路和安装人工</x:v>
      </x:c>
      <x:c r="N21" s="12"/>
      <x:c r="O21" s="12" t="str">
        <x:v>https://www.ikea.cn/cn/zh/p/nymane-niu-mo-nai-bi-deng-yue-du-deng-bai-se-60356988/
核对：2026-09-10</x:v>
      </x:c>
    </x:row>
    <x:row r="22" ht="105.5999984741211" hidden="0" customHeight="1">
      <x:c r="A22" s="24" t="str">
        <x:v>AP-A16</x:v>
      </x:c>
      <x:c r="B22" s="24" t="str">
        <x:v>冷暖热水排风</x:v>
      </x:c>
      <x:c r="C22" s="24" t="str">
        <x:v>四处淋浴暖风排风+公卫排风，功能实用款</x:v>
      </x:c>
      <x:c r="D22" s="24" t="str">
        <x:v>国内常规暖风/排风机型待浴室风量、湿区与吊顶净空选型</x:v>
      </x:c>
      <x:c r="E22" s="18" t="n">
        <x:v>1</x:v>
      </x:c>
      <x:c r="F22" s="13" t="str">
        <x:v>系统</x:v>
      </x:c>
      <x:c r="G22" s="20" t="n">
        <x:v>4500</x:v>
      </x:c>
      <x:c r="H22" s="20"/>
      <x:c r="I22" s="22" t="n">
        <x:v>1</x:v>
      </x:c>
      <x:c r="J22" s="23" t="n">
        <x:f>IF(ISBLANK(H22),G22,H22)</x:f>
        <x:v>4500</x:v>
      </x:c>
      <x:c r="K22" s="23" t="n">
        <x:f>E22*J22*I22</x:f>
        <x:v>4500</x:v>
      </x:c>
      <x:c r="L22" s="12" t="str">
        <x:v>数量拆分预算：四套900元+公卫300元+常规管道止逆安装600元；未取得项目设备报价</x:v>
      </x:c>
      <x:c r="M22" s="12" t="str">
        <x:v>R102 父母卫浴、R103 一层公卫、R203 主卫、R205 儿童卫浴、R302 妹妹卫浴 按4处淋浴卫浴+1处公卫计；此项含风机，不应重复计到空调室内机数量。；按排风管长、阻力、补风及实际湿区选型，确认风量/噪声；暖风取电负荷、专用控制、止逆和排至合法室外的路径一起深化；不与烟道混用，不向封闭采光井任意排湿；不得占窗洞
4套普通暖风排风、1套公卫排风、常规风管止逆和安装的预算；另计：专用电源线路由电气施工计；需要长管/高阻力或特殊吊顶时重新核报价，不削减必要风量；组成：淋浴间暖风排风 ×4；公卫排风 ×1；常规风管/止逆/安装 ×1</x:v>
      </x:c>
      <x:c r="N22" s="12"/>
      <x:c r="O22" s="12" t="str">
        <x:v>预算假设：2026-09-10，待实际询价</x:v>
      </x:c>
    </x:row>
    <x:row r="23" ht="224.39999389648438" hidden="0" customHeight="1">
      <x:c r="A23" s="12" t="str">
        <x:v>AP-A17</x:v>
      </x:c>
      <x:c r="B23" s="12" t="str">
        <x:v>冷暖热水排风</x:v>
      </x:c>
      <x:c r="C23" s="12" t="str">
        <x:v>按八个使用分区预留的独立分体空调</x:v>
      </x:c>
      <x:c r="D23" s="12" t="str">
        <x:v>七个房间挂机+一个公共区柜机的数量预算；海尔KFR-35GW/EC1-1及KFR-72LW/E1-1仅为价格/安装尺寸锚点</x:v>
      </x:c>
      <x:c r="E23" s="18" t="n">
        <x:v>1</x:v>
      </x:c>
      <x:c r="F23" s="13" t="str">
        <x:v>系统</x:v>
      </x:c>
      <x:c r="G23" s="20" t="n">
        <x:v>30592</x:v>
      </x:c>
      <x:c r="H23" s="20"/>
      <x:c r="I23" s="22" t="n">
        <x:v>1</x:v>
      </x:c>
      <x:c r="J23" s="23" t="n">
        <x:f>IF(ISBLANK(H23),G23,H23)</x:f>
        <x:v>30592</x:v>
      </x:c>
      <x:c r="K23" s="23" t="n">
        <x:f>E23*J23*I23</x:f>
        <x:v>30592</x:v>
      </x:c>
      <x:c r="L23" s="12" t="str">
        <x:v>七台挂机官方参考2599×7=18193；一台柜机官方参考6399；附加安装及容量调整预留6000，共30592。尚未做热负荷选型。</x:v>
      </x:c>
      <x:c r="M23" s="12" t="str">
        <x:v>R101 父母卧室、R108 爸爸操盘房、R201 主卧、R204 未来儿童房、R301 妹妹卧室、R303 书法房、R304 妈妈毛线工作室、R104/R105 R104/R105 按父母、操盘、夫妻、未来儿童、妹妹、书法、毛线七个可关门房间及客餐公共区共八分区列预算。原图外立面能否容纳八台室外机尚未确认，不代表已批准机位；衣帽区和走廊不另机械加空调。；逐房按围护/玻璃、朝向遮阳、层高、人员电脑及通风计算夏季冷负荷和冬季热负荷；不能凭2599元价格把七间强定为1.5匹；客厅与餐厅是否能用同一公共区机组由实测连通性、送风路径和负荷决定；不足时调整数量/容量，从预留并重新报价；八台室外机的合法机位、维护通道、散热短路、外观/邻户噪声和冷凝排水需先确认；不足则比较小多联或局部风管，不能挡门窗；设备参考总价24592与安装预留6000分列；标准安装若本已包含不得再次收同项，超长铜管、支架、墙孔等按实际明细；未来儿童房若暂空置可先做套管、电源和排水，延后购一台；主推荐为长期预算仍保留该台，不虚报节约
8个使用分区的设备参考预算及6000元附加安装/容量调整预留；其中冷媒管与排水必须按实际长度结算；另计：新风、地暖、全屋除湿、电表增容和外墙结构施工；中央/多联系统作为替换升级方案，不叠加；组成：KFR-35GW/EC1-1，容量待逐房核定 ×7；KFR-72LW/E1-1，容量与一机覆盖条件待核 ×1；按实际管长、支架、检修及最终容量核算 ×1</x:v>
      </x:c>
      <x:c r="N23" s="12"/>
      <x:c r="O23" s="12" t="str">
        <x:v>https://www.haier.com/air_conditioners/20260707_292886.shtml
核对：2026-09-10</x:v>
      </x:c>
    </x:row>
    <x:row r="24" ht="224.39999389648438" hidden="0" customHeight="1">
      <x:c r="A24" s="24" t="str">
        <x:v>AP-A18</x:v>
      </x:c>
      <x:c r="B24" s="24" t="str">
        <x:v>冷暖热水排风</x:v>
      </x:c>
      <x:c r="C24" s="24" t="str">
        <x:v>三层生活热水：单热源+必要保温/按需回水预算</x:v>
      </x:c>
      <x:c r="D24" s="24" t="str">
        <x:v>有合适天然气条件时，以海尔JSQ38-20HT5DPXGU1 20L为价格/尺寸候选；系统最终容量待同时用水计算</x:v>
      </x:c>
      <x:c r="E24" s="18" t="n">
        <x:v>1</x:v>
      </x:c>
      <x:c r="F24" s="13" t="str">
        <x:v>系统</x:v>
      </x:c>
      <x:c r="G24" s="20" t="n">
        <x:v>10000</x:v>
      </x:c>
      <x:c r="H24" s="20"/>
      <x:c r="I24" s="22" t="n">
        <x:v>1</x:v>
      </x:c>
      <x:c r="J24" s="23" t="n">
        <x:f>IF(ISBLANK(H24),G24,H24)</x:f>
        <x:v>10000</x:v>
      </x:c>
      <x:c r="K24" s="23" t="n">
        <x:f>E24*J24*I24</x:f>
        <x:v>10000</x:v>
      </x:c>
      <x:c r="L24" s="12" t="str">
        <x:v>单机官方参考3599+按需回水/阀控预留2400+安装排烟附材1500+保温/调试/能力调整2501；共10000元。非全屋性能承诺。</x:v>
      </x:c>
      <x:c r="M24" s="12" t="str">
        <x:v>R102 父母卫浴、R103 一层公卫、R106 厨房、R203 主卫、R205 儿童卫浴、R302 妹妹卫浴 毛坯阶段优先把热水管与可行回水路径、保温一起设计，减少三层等待。仍保留4个淋浴点，但20L单机不是四淋浴可同时开放的保证；如果家庭要求冬季两/三处持续同时淋浴，需升容或改储热系统。；确认入户天然气容量、合法排烟位置和最不利三楼动态水压；若无燃气，改空气能储热方案并按机位/负荷重新报价，不套用本主预算；按冬季进水温度与设定出水温差、两人同时用水期望和实际花洒流量计算；标称20L/min取决于标准测试温升，现场可用流量会变；回水采用按需控制，厂家须书面确认本机能配所选循环方案，不随意外加泵；若不兼容则更换同等级合适热源并重核价；公共热水长支路做合理保温和维护口；无需自动全天循环、全屋每点都追求瞬热，不以省钱取消必要控温；保留当前四处淋浴供水但不强制全部同时；若用户明确同时用水需求超出单热源能力，要在采购冻结前调整
一种热源、按需循环/阀控的必要设备预留及常规安装/排烟附材、保温和调试；另计：给水总包若已含管路/保温须扣重；燃气开户/增容、外立面工程、异常大储热系统；不是指定20L一定够用；组成：JSQ38-20HT5DPXGU1 ×1；按最终厂家兼容方案选定 ×1；安装与排烟附材 ×1；保温/调试/能力调整 ×1</x:v>
      </x:c>
      <x:c r="N24" s="12"/>
      <x:c r="O24" s="12" t="str">
        <x:v>https://www.haier.com/water_heaters/rqrsq/20241216_254014.shtml
核对：2026-09-10</x:v>
      </x:c>
    </x:row>
    <x:row r="25" ht="184.8000030517578" hidden="0" customHeight="1">
      <x:c r="A25" s="12" t="str">
        <x:v>AP-A19</x:v>
      </x:c>
      <x:c r="B25" s="12" t="str">
        <x:v>照明</x:v>
      </x:c>
      <x:c r="C25" s="12" t="str">
        <x:v>镜前、厨房台面及起夜补光</x:v>
      </x:c>
      <x:c r="D25" s="12" t="str">
        <x:v>卫浴镜前灯待防护区位选型；MITTLED 404.554.23干区候选；米家夜灯2 MJYD02YL</x:v>
      </x:c>
      <x:c r="E25" s="18" t="n">
        <x:v>1</x:v>
      </x:c>
      <x:c r="F25" s="13" t="str">
        <x:v>组</x:v>
      </x:c>
      <x:c r="G25" s="20" t="n">
        <x:v>2410</x:v>
      </x:c>
      <x:c r="H25" s="20"/>
      <x:c r="I25" s="22" t="n">
        <x:v>1</x:v>
      </x:c>
      <x:c r="J25" s="23" t="n">
        <x:f>IF(ISBLANK(H25),G25,H25)</x:f>
        <x:v>2410</x:v>
      </x:c>
      <x:c r="K25" s="23" t="n">
        <x:f>E25*J25*I25</x:f>
        <x:v>2410</x:v>
      </x:c>
      <x:c r="L25" s="12" t="str">
        <x:v>镜前5×250+厨房台面补光800+6个夜灯×60；均为整组预算，其中灯条有79.99元/条公开对照价</x:v>
      </x:c>
      <x:c r="M25" s="12" t="str">
        <x:v>R102 父母卫浴、R103 一层公卫、R203 主卫、R205 儿童卫浴、R302 妹妹卫浴、R106 厨房、卧室至卫浴干区通道 卧室至卫浴干区通道 这组为原30个基础灯位之外的功能补光预留：镜前5组、厨房拟2.4米灯条、干燥通道低位夜灯6只；位置与长度须随最终柜体/照度深化确认。；镜前灯必须按湿区分区选择防护等级和合规固定接线，不能用IP20厨下灯替代；MITTLED 60厘米条5.5W、2700K、CRI&gt;90、IP20，只能作经确认无溅水的干燥台面位置候选；水槽上方等位置另换满足实际防护条件产品；按4条共22W选择兼容且容量足够的TRÅDFRI驱动器及VÅGDAL/FÖRNIMMA线材，驱动器不埋死；800元组价包含配套设备预留；MJYD02YL使用3节AA电池，作为便利夜灯；安装于干区，不能替代应急照明，电池固定防儿童接触
5组镜前灯预算1250；厨房灯条/驱动/连接线预算800；6只感应夜灯预算360；另计：固定布线及灯具安装归电气施工；型号替换后重核差额；组成：按安装区位防护待定 ×5；MITTLED 404.554.23 ×4仅干区候选；湿区替换 ×1；米家夜灯2 MJYD02YL ×6</x:v>
      </x:c>
      <x:c r="N25" s="12"/>
      <x:c r="O25" s="12" t="str">
        <x:v>https://www.ikea.cn/cn/zh/p/mittled-led-kitchen-worktop-lighting-strip-dimmable-white-40455423/
核对：2026-09-10</x:v>
      </x:c>
    </x:row>
    <x:row r="26" ht="303.6000061035156" hidden="0" customHeight="1">
      <x:c r="A26" s="24" t="str">
        <x:v>AP-NET01</x:v>
      </x:c>
      <x:c r="B26" s="24" t="str">
        <x:v>生活家电</x:v>
      </x:c>
      <x:c r="C26" s="24" t="str">
        <x:v>三层有线回程 Wi-Fi 设备与初次配置</x:v>
      </x:c>
      <x:c r="D26" s="24" t="str">
        <x:v>TP-LINK TL-XDR3010 易展版 ×3 + TL-SG1008D ×1</x:v>
      </x:c>
      <x:c r="E26" s="18" t="n">
        <x:v>1</x:v>
      </x:c>
      <x:c r="F26" s="13" t="str">
        <x:v>组</x:v>
      </x:c>
      <x:c r="G26" s="20" t="n">
        <x:v>1250</x:v>
      </x:c>
      <x:c r="H26" s="20"/>
      <x:c r="I26" s="22" t="n">
        <x:v>1</x:v>
      </x:c>
      <x:c r="J26" s="23" t="n">
        <x:f>IF(ISBLANK(H26),G26,H26)</x:f>
        <x:v>1250</x:v>
      </x:c>
      <x:c r="K26" s="23" t="n">
        <x:f>E26*J26*I26</x:f>
        <x:v>1250</x:v>
      </x:c>
      <x:c r="L26" s="12" t="str">
        <x:v>编制预算预留；未核实当前在售价格，不是官网报价</x:v>
      </x:c>
      <x:c r="M26" s="12" t="str">
        <x:v>按每层一台起步，共三台全新设备。具体放置点尚未落实到施工图；必须在装修前选定开敞通风位置并布线，完工后测书法、操盘、卧室等重点房间的覆盖与漫游。此数量不是无死角覆盖保证。；光猫/运营商入户接口 → 一层主路由 WAN → 主路由 LAN 下接交换机 → 二、三层节点及有线终端，采用六类线星形回路；按厂家易展有线组网步骤完成配对，避免误接回环。；仅主路由承担本户 DHCP/NAT；若运营商光猫不能桥接，由安装人员统一规划网关/AP 模式，避免无意双重路由。；三台路由器、交换机及运营商光猫均需要适合本地的电源位；不把 Wi-Fi 节点封入金属弱电箱，不紧贴电梯井或强弱电配电设备。；由施工单位确认回线端口数。8 口交换机扣除主路由上联和 2 个楼层节点后余 5 口，可给电视和电脑使用；如端口清单超过容量，采购前调整交换机。；当前方案的有线链路为千兆，适合千兆及以下宽带基准；无线标称速率不能当作每个终端实测速率。超过千兆宽带或大量 NAS 传输需要另算 2.5G 升级，不计入本方案。；永久网线、管路、面板、端接和固定线路验收应归硬装弱电项，本项仅新增设备、短跳线与初次设备配置。
全新路由器 3 台、交换机 1 台及原配电源，短跳线组预算 100 元，初次设备配置预算 200 元。均为预留价格，含税/运输须书面报价确认。；另计：永久布线及端接、强电插座、金属弱电箱、运营商宽带月费和光猫费用、NAS、UPS、摄像头。不假定复用原有路由器或交换机。；组成：TL-XDR3010 易展版（中国版） ×3；TL-SG1008D（中国版，硬件版本待采购核实） ×1；长度与根数随弱电柜、路由点及终端清单确定 ×1；服务暂列 ×1</x:v>
      </x:c>
      <x:c r="N26" s="12"/>
      <x:c r="O26" s="12" t="str">
        <x:v>https://www.tp-link.com.cn/product_2025.html?source=search
核对：2026-09-10</x:v>
      </x:c>
    </x:row>
    <x:row r="27" ht="132" hidden="0" customHeight="1">
      <x:c r="A27" s="12" t="str">
        <x:v>AP-LAU01</x:v>
      </x:c>
      <x:c r="B27" s="12" t="str">
        <x:v>生活家电</x:v>
      </x:c>
      <x:c r="C27" s="12" t="str">
        <x:v>洗烘原厂叠放连接件预留</x:v>
      </x:c>
      <x:c r="D27" s="12" t="str">
        <x:v>尚未核定：须匹配 G10090BD12S + GA120-58E1U1 的海尔认可连接件</x:v>
      </x:c>
      <x:c r="E27" s="18" t="n">
        <x:v>1</x:v>
      </x:c>
      <x:c r="F27" s="13" t="str">
        <x:v>组</x:v>
      </x:c>
      <x:c r="G27" s="20" t="n">
        <x:v>450</x:v>
      </x:c>
      <x:c r="H27" s="20"/>
      <x:c r="I27" s="22" t="n">
        <x:v>1</x:v>
      </x:c>
      <x:c r="J27" s="23" t="n">
        <x:f>IF(ISBLANK(H27),G27,H27)</x:f>
        <x:v>450</x:v>
      </x:c>
      <x:c r="K27" s="23" t="n">
        <x:f>E27*J27*I27</x:f>
        <x:v>450</x:v>
      </x:c>
      <x:c r="L27" s="12" t="str">
        <x:v>编制预算预留；未核实当前在售价格，不是官网报价</x:v>
      </x:c>
      <x:c r="M27" s="12" t="str">
        <x:v>两台宽度均为 595 mm 不足以证明可以叠放。未找到该精确型号组合的官方叠放连接件 SKU，也未核实允许的固定方式及整体安装尺寸；保留采购暂停点。；海尔售后/安装方须书面确认两台精确型号可叠放、原厂连接件型号和安装净空。；原厂不认可此组合时，不得直接叠放；改为认可套装或依法落位的并排方案，并重新核价和复尺。；洗衣位置只能在落实后的合法湿区及已核实给排水、防水与接地电源条件中安装，不以新增楼板穿孔或未经确认的旧楼梯位置为前提。
仅连接件配件费暂列 450 元，无真实型号和官方现价背书。；另计：洗衣机、烘干机整机；水电防水改造；搬运与叠放安装人工。人工由 H30/H21 或厂商书面报价明确后只计一次。</x:v>
      </x:c>
      <x:c r="N27" s="12"/>
      <x:c r="O27" s="12" t="str">
        <x:v>https://www.haier.com/laundry/20240604_238924.shtml
核对：2026-09-10</x:v>
      </x:c>
    </x:row>
    <x:row r="28" ht="79.19999694824219" hidden="0" customHeight="1">
      <x:c r="A28" s="24" t="str">
        <x:v>AP-O01</x:v>
      </x:c>
      <x:c r="B28" s="24" t="str">
        <x:v>可选设备</x:v>
      </x:c>
      <x:c r="C28" s="24" t="str">
        <x:v>可移动除湿机（延后）</x:v>
      </x:c>
      <x:c r="D28" s="24" t="str">
        <x:v>米家智能除湿机22L 中国版</x:v>
      </x:c>
      <x:c r="E28" s="18" t="n">
        <x:v>1</x:v>
      </x:c>
      <x:c r="F28" s="13" t="str">
        <x:v>台</x:v>
      </x:c>
      <x:c r="G28" s="20" t="n">
        <x:v>1499</x:v>
      </x:c>
      <x:c r="H28" s="20"/>
      <x:c r="I28" s="22" t="n">
        <x:v>0</x:v>
      </x:c>
      <x:c r="J28" s="23" t="n">
        <x:f>IF(ISBLANK(H28),G28,H28)</x:f>
        <x:v>1499</x:v>
      </x:c>
      <x:c r="K28" s="23" t="n">
        <x:f>E28*J28*I28</x:f>
        <x:v>0</x:v>
      </x:c>
      <x:c r="L28" s="12" t="str">
        <x:v>可选预算；本次未核实准确SKU当前售价与中国版完整外形</x:v>
      </x:c>
      <x:c r="M28" s="12" t="str">
        <x:v>R304 妈妈毛线工作室、R206 二层休闲/家政区 毛线干燥储藏/梅雨期轮换使用；22L为标称量，实际杭州低温高湿条件能力需看测试温湿度，不当全屋除湿保证。；接地电源，机器四周进出风和水箱取出空间按中国版说明书；默认水箱手动倒水；若连续排水，须合法排水点和防倒灌，不能随意向花房地面滴水
1台设备预留；另计：连续排水管路改造与全屋除湿系统</x:v>
      </x:c>
      <x:c r="N28" s="12"/>
      <x:c r="O28" s="12" t="str">
        <x:v>https://www.mi.com/shop/buy/detail?product_id=22032
核对：2026-09-10</x:v>
      </x:c>
    </x:row>
    <x:row r="29" ht="79.19999694824219" hidden="0" customHeight="1">
      <x:c r="A29" s="12" t="str">
        <x:v>AP-O02</x:v>
      </x:c>
      <x:c r="B29" s="12" t="str">
        <x:v>可选设备</x:v>
      </x:c>
      <x:c r="C29" s="12" t="str">
        <x:v>扫拖机器人（延后）</x:v>
      </x:c>
      <x:c r="D29" s="12" t="str">
        <x:v>米家扫拖机器人5 水箱版</x:v>
      </x:c>
      <x:c r="E29" s="18" t="n">
        <x:v>1</x:v>
      </x:c>
      <x:c r="F29" s="13" t="str">
        <x:v>台</x:v>
      </x:c>
      <x:c r="G29" s="20" t="n">
        <x:v>3299</x:v>
      </x:c>
      <x:c r="H29" s="20"/>
      <x:c r="I29" s="22" t="n">
        <x:v>0</x:v>
      </x:c>
      <x:c r="J29" s="23" t="n">
        <x:f>IF(ISBLANK(H29),G29,H29)</x:f>
        <x:v>3299</x:v>
      </x:c>
      <x:c r="K29" s="23" t="n">
        <x:f>E29*J29*I29</x:f>
        <x:v>0</x:v>
      </x:c>
      <x:c r="L29" s="12" t="str">
        <x:v>可选预算；中国官网确认产品名称，未核实当前到手价</x:v>
      </x:c>
      <x:c r="M29" s="12" t="str">
        <x:v>R104 客厅 先在1层安排一套水箱基站；多层靠人工搬运机器，不能假定机器人会乘电梯或自动跨层。无完整尺寸前不把基站封入柜。；实测基站外廓、前方驶出净空和开盖取水高度；水箱版只需合适电源与人工补水倒水，不增未批准的上下水；验证门槛、地毯和家具底部净高，电梯门及高差区域做防跌落和边界测试
1台机器和水箱版基站预留；另计：上下水套件、额外楼层基站和耗材续购</x:v>
      </x:c>
      <x:c r="N29" s="12"/>
      <x:c r="O29" s="12" t="str">
        <x:v>https://www.mi.com/shop/buy/detail?product_id=18340
核对：2026-09-10</x:v>
      </x:c>
    </x:row>
    <x:row r="30" ht="132" hidden="0" customHeight="1">
      <x:c r="A30" s="24" t="str">
        <x:v>AP-O03</x:v>
      </x:c>
      <x:c r="B30" s="24" t="str">
        <x:v>optional_office</x:v>
      </x:c>
      <x:c r="C30" s="24" t="str">
        <x:v>操盘显示器与UPS组合（延后）</x:v>
      </x:c>
      <x:c r="D30" s="24" t="str">
        <x:v>Dell Pro P 24 P2426H ×3；UPS待实际功率与运行时间选型</x:v>
      </x:c>
      <x:c r="E30" s="18" t="n">
        <x:v>1</x:v>
      </x:c>
      <x:c r="F30" s="13" t="str">
        <x:v>组</x:v>
      </x:c>
      <x:c r="G30" s="20" t="n">
        <x:v>5407</x:v>
      </x:c>
      <x:c r="H30" s="20"/>
      <x:c r="I30" s="22" t="n">
        <x:v>0</x:v>
      </x:c>
      <x:c r="J30" s="23" t="n">
        <x:f>IF(ISBLANK(H30),G30,H30)</x:f>
        <x:v>5407</x:v>
      </x:c>
      <x:c r="K30" s="23" t="n">
        <x:f>E30*J30*I30</x:f>
        <x:v>0</x:v>
      </x:c>
      <x:c r="L30" s="12" t="str">
        <x:v>显示器官方969×3；UPS预算2000、线材/支架预留500</x:v>
      </x:c>
      <x:c r="M30" s="12" t="str">
        <x:v>R108 爸爸操盘房 爸爸桌1480×800毫米。三个横屏并列宽1615.92毫米超出桌宽；建议中间横屏+两侧竖屏，机身理论宽1167.10毫米另加间隙，仍需按支架、旋转和坐姿复核。；P2426H支持旋转，1080p/120Hz；确认电脑有三个独立视频输出或合适扩展坞，不把USB-C充电口当视频菊链；UPS按电脑、3屏和网络设备实际W、目标约10分钟关机续航及插头规格选中国合规在售型号；UPS不带空调、打印机大负载或电梯；桌下留散热和维护空间；若原操盘电脑/显示器可复用，整项可推迟；本项不包含新电脑
3台显示器显示价2907、UPS预留2000、线材或必要支架预留500；另计：交易软件订阅、电脑、网络月租；UPS型号尚未确定，金额为独立预算</x:v>
      </x:c>
      <x:c r="N30" s="12"/>
      <x:c r="O30" s="12" t="str">
        <x:v>https://www.dell.com/zh-cn/shop/dell-pro-p-24-%E6%98%BE%E7%A4%BA%E5%99%A8-p2426h/apd/210-bvqh/%E6%88%B4%E5%B0%94%E6%98%BE%E7%A4%BA%E5%99%A8
核对：2026-09-10</x:v>
      </x:c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</x:sheetData>
  <x:conditionalFormatting sqref="K7:K30">
    <x:cfRule type="cellIs" dxfId="2" priority="1" operator="lessThan">
      <x:formula>0</x:formula>
    </x:cfRule>
  </x:conditionalFormatting>
  <x:dataValidations count="1">
    <x:dataValidation type="whole" operator="between" sqref="I7:I30">
      <x:formula1>0</x:formula1>
      <x:formula2>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19" hidden="0" customWidth="1"/>
    <x:col min="4" max="4" width="39" hidden="0" customWidth="1"/>
    <x:col min="5" max="5" width="56" hidden="0" customWidth="1"/>
    <x:col min="6" max="6" width="23" hidden="0" customWidth="1"/>
    <x:col min="7" max="7" width="62" hidden="0" customWidth="1"/>
    <x:col min="8" max="8" width="42" hidden="0" customWidth="1"/>
    <x:col min="9" max="9" width="3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杭州施工团队候选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 t="str">
        <x:v>公开资料初筛。未联系、未量房、无本案正式报价；资质和拟派项目经理须核验。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0" customHeight="1">
      <x:c r="A6" s="9" t="str">
        <x:v>编号</x:v>
      </x:c>
      <x:c r="B6" s="9" t="str">
        <x:v>品牌 / 合同主体</x:v>
      </x:c>
      <x:c r="C6" s="9" t="str">
        <x:v>公开电话</x:v>
      </x:c>
      <x:c r="D6" s="9" t="str">
        <x:v>服务区域</x:v>
      </x:c>
      <x:c r="E6" s="9" t="str">
        <x:v>适合本案的依据</x:v>
      </x:c>
      <x:c r="F6" s="9" t="str">
        <x:v>报价状态</x:v>
      </x:c>
      <x:c r="G6" s="9" t="str">
        <x:v>需要核对</x:v>
      </x:c>
      <x:c r="H6" s="9" t="str">
        <x:v>官方链接</x:v>
      </x:c>
      <x:c r="I6" s="2"/>
      <x:c r="J6" s="2"/>
      <x:c r="K6" s="2"/>
      <x:c r="L6" s="2"/>
    </x:row>
    <x:row r="7" ht="52.79999923706055" hidden="0" customHeight="1">
      <x:c r="A7" s="12" t="str">
        <x:v>T01</x:v>
      </x:c>
      <x:c r="B7" s="12" t="str">
        <x:v>铭品装饰
浙江铭品装饰工程有限公司</x:v>
      </x:c>
      <x:c r="C7" s="12" t="str">
        <x:v>400-600-3007</x:v>
      </x:c>
      <x:c r="D7" s="12" t="str">
        <x:v>杭州；官网明确列富阳分站。本小区现场服务、工人交通与售后响应待核实。</x:v>
      </x:c>
      <x:c r="E7" s="12" t="str">
        <x:v>已有富阳极简住宅和现代合院官方案例，适合以现有P02方案为基础做结构边界、机电、定制统筹。</x:v>
      </x:c>
      <x:c r="F7" s="12" t="str">
        <x:v>未联系 / 未报价</x:v>
      </x:c>
      <x:c r="G7" s="12" t="str">
        <x:v>与现有方案衔接是否另收设计深化费
富阳在施工地可否由拟派同一项目经理带看
花园、防水和电梯界面由谁承担总协调
是否接受指定家具品牌和甲供主材，管理费如何计取</x:v>
      </x:c>
      <x:c r="H7" s="12" t="str">
        <x:v>https://www.mpzs.com/</x:v>
      </x:c>
      <x:c r="I7" s="2"/>
      <x:c r="J7" s="2"/>
      <x:c r="K7" s="2"/>
      <x:c r="L7" s="2"/>
    </x:row>
    <x:row r="8" ht="52.79999923706055" hidden="0" customHeight="1">
      <x:c r="A8" s="12" t="str">
        <x:v>T02</x:v>
      </x:c>
      <x:c r="B8" s="12" t="str">
        <x:v>南鸿装饰
浙江南鸿装饰股份有限公司</x:v>
      </x:c>
      <x:c r="C8" s="12" t="str">
        <x:v>400-8800-618</x:v>
      </x:c>
      <x:c r="D8" s="12" t="str">
        <x:v>杭州及浙江部分城市；官网有富阳住宅案例，项目地址的服务边界待确认。</x:v>
      </x:c>
      <x:c r="E8" s="12" t="str">
        <x:v>有现代简约别墅案例，公开标准套餐便于检查费用边界，适合作为舒适实用方向的比价对象。</x:v>
      </x:c>
      <x:c r="F8" s="12" t="str">
        <x:v>未联系 / 未报价</x:v>
      </x:c>
      <x:c r="G8" s="12" t="str">
        <x:v>1199套餐对多层、面积、厨房卫生间数量的限制
旧房拆除、修补、跨楼层运输、机电、室外是否另计
装修工程专业承包资质官网自述与当期证书是否一致
使用甲供材料是否增加服务费</x:v>
      </x:c>
      <x:c r="H8" s="12" t="str">
        <x:v>https://www.nhzs.com/</x:v>
      </x:c>
      <x:c r="I8" s="2"/>
      <x:c r="J8" s="2"/>
      <x:c r="K8" s="2"/>
      <x:c r="L8" s="2"/>
    </x:row>
    <x:row r="9" ht="52.79999923706055" hidden="0" customHeight="1">
      <x:c r="A9" s="12" t="str">
        <x:v>T03</x:v>
      </x:c>
      <x:c r="B9" s="12" t="str">
        <x:v>都都装饰
浙江都都装饰有限公司</x:v>
      </x:c>
      <x:c r="C9" s="12" t="str">
        <x:v>400-600-5508</x:v>
      </x:c>
      <x:c r="D9" s="12" t="str">
        <x:v>杭州站及杭州门店已核；富阳本小区接单、运输及售后范围待确认。</x:v>
      </x:c>
      <x:c r="E9" s="12" t="str">
        <x:v>可用舒适家产品方向核对简约舒适配套，官网有270㎡叠排及320㎡现代简约住宅展示。</x:v>
      </x:c>
      <x:c r="F9" s="12" t="str">
        <x:v>未联系 / 未报价</x:v>
      </x:c>
      <x:c r="G9" s="12" t="str">
        <x:v>套餐是否接受现有方案而不整体重做
三层旧改工长的最近案例及在建工地
花园和露台防水/排水是否自营或分包
官网零投诉等宣传未独立核验，不列为评分依据</x:v>
      </x:c>
      <x:c r="H9" s="12" t="str">
        <x:v>https://www.duduzs.cn/</x:v>
      </x:c>
      <x:c r="I9" s="2"/>
      <x:c r="J9" s="2"/>
      <x:c r="K9" s="2"/>
      <x:c r="L9" s="2"/>
    </x:row>
    <x:row r="10" ht="52.79999923706055" hidden="0" customHeight="1">
      <x:c r="A10" s="12" t="str">
        <x:v>T04</x:v>
      </x:c>
      <x:c r="B10" s="12" t="str">
        <x:v>尚层别墅装饰·杭州
尚层装饰（北京）有限公司杭州分公司</x:v>
      </x:c>
      <x:c r="C10" s="12" t="str">
        <x:v>400-001-5820</x:v>
      </x:c>
      <x:c r="D10" s="12" t="str">
        <x:v>官网写大杭州及周边；富阳项目需书面确认。</x:v>
      </x:c>
      <x:c r="E10" s="12" t="str">
        <x:v>可作为多专业协调能力及全案服务深度的比较对象；本案要求减少装饰造型、控制定制及品牌溢价。</x:v>
      </x:c>
      <x:c r="F10" s="12" t="str">
        <x:v>未联系 / 未报价</x:v>
      </x:c>
      <x:c r="G10" s="12" t="str">
        <x:v>能否按简约舒适、明确总投资控制线接单
已有方案深化费、全案管理费与主材服务费是否重复
接受部分甲供家具家电的合同方式
具体合同主体与收款账户是否一致</x:v>
      </x:c>
      <x:c r="H10" s="12" t="str">
        <x:v>https://hz.shangceng.com.cn/</x:v>
      </x:c>
      <x:c r="I10" s="2"/>
      <x:c r="J10" s="2"/>
      <x:c r="K10" s="2"/>
      <x:c r="L10" s="2"/>
    </x:row>
    <x:row r="11" ht="39.599998474121094" hidden="0" customHeight="1">
      <x:c r="A11" s="12" t="str">
        <x:v>T05</x:v>
      </x:c>
      <x:c r="B11" s="12" t="str">
        <x:v>圣都整装·杭州
圣都家居装饰有限公司（杭州实际签约分支待确认）</x:v>
      </x:c>
      <x:c r="C11" s="12" t="str">
        <x:v>4001115699</x:v>
      </x:c>
      <x:c r="D11" s="12" t="str">
        <x:v>杭州站和门店已核；富阳项目服务范围待确认。</x:v>
      </x:c>
      <x:c r="E11" s="12" t="str">
        <x:v>公开A3s-140起价可作为标准整装边界参照，不能直接视作本案可用合同方案。</x:v>
      </x:c>
      <x:c r="F11" s="12" t="str">
        <x:v>未联系 / 未报价</x:v>
      </x:c>
      <x:c r="G11" s="12" t="str">
        <x:v>本次尚未核到足以证明同类三层别墅旧改的杭州具体案例，须先补齐后入围
标准套餐是否限制厨房/卫生间数量、层高与面积计量
电梯、花园、露台及结构合法性深化是否有责任主体</x:v>
      </x:c>
      <x:c r="H11" s="12" t="str">
        <x:v>https://shengdu.ke.com/hz/</x:v>
      </x:c>
      <x:c r="I11" s="2"/>
      <x:c r="J11" s="2"/>
      <x:c r="K11" s="2"/>
      <x:c r="L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80" hidden="0" customWidth="1"/>
    <x:col min="4" max="4" width="76" hidden="0" customWidth="1"/>
    <x:col min="5" max="5" width="3" hidden="0" customWidth="1"/>
    <x:col min="6" max="6" width="15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尺寸、安装与未计范围</x:v>
      </x:c>
      <x:c r="B2" s="2"/>
      <x:c r="C2" s="2"/>
      <x:c r="D2" s="2"/>
      <x:c r="E2" s="2"/>
      <x:c r="F2" s="2"/>
    </x:row>
    <x:row r="3" ht="24" customHeight="1">
      <x:c r="A3" s="4" t="str">
        <x:v>先解决实际尺寸和施工条件，再锁定型号和订单。</x:v>
      </x:c>
      <x:c r="B3" s="4"/>
      <x:c r="C3" s="4"/>
      <x:c r="D3" s="4"/>
      <x:c r="E3" s="4"/>
      <x:c r="F3" s="4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0" customHeight="1">
      <x:c r="A6" s="9" t="str">
        <x:v>编号</x:v>
      </x:c>
      <x:c r="B6" s="9" t="str">
        <x:v>项目</x:v>
      </x:c>
      <x:c r="C6" s="9" t="str">
        <x:v>当前判断</x:v>
      </x:c>
      <x:c r="D6" s="9" t="str">
        <x:v>下一步</x:v>
      </x:c>
      <x:c r="E6" s="2"/>
      <x:c r="F6" s="2"/>
    </x:row>
    <x:row r="7" ht="26.399999618530273" hidden="0" customHeight="1">
      <x:c r="A7" s="12" t="str">
        <x:v>F01</x:v>
      </x:c>
      <x:c r="B7" s="12" t="str">
        <x:v>电梯与原楼梯</x:v>
      </x:c>
      <x:c r="C7" s="12" t="str">
        <x:v>模型井道外1650×1900mm、内净1410×1660mm；东侧门。型号和孔口未签认；无楼梯仅为方案意向。</x:v>
      </x:c>
      <x:c r="D7" s="12" t="str">
        <x:v>先核撤梯、开井、补板是否允许及疏散方案，再由结构/建筑/电梯厂家协同出图；未确认前不下电梯或梯区定制单。</x:v>
      </x:c>
      <x:c r="E7" s="2"/>
      <x:c r="F7" s="2"/>
    </x:row>
    <x:row r="8" ht="26.399999618530273" hidden="0" customHeight="1">
      <x:c r="A8" s="12" t="str">
        <x:v>F02</x:v>
      </x:c>
      <x:c r="B8" s="12" t="str">
        <x:v>厨房600mm洗碗机</x:v>
      </x:c>
      <x:c r="C8" s="12" t="str">
        <x:v>模型520mm面板不是安装净孔；15套S1需重排柜格。厨房4.4延米只为预算占位。</x:v>
      </x:c>
      <x:c r="D8" s="12" t="str">
        <x:v>在原厨房边界内复尺，厂家与橱柜厂同图确认净孔、门板、踢脚、上下水；放不下则更换型号重新核价。</x:v>
      </x:c>
      <x:c r="E8" s="2"/>
      <x:c r="F8" s="2"/>
    </x:row>
    <x:row r="9" ht="15" hidden="0" customHeight="1">
      <x:c r="A9" s="12" t="str">
        <x:v>F03</x:v>
      </x:c>
      <x:c r="B9" s="12" t="str">
        <x:v>冰箱与搬运</x:v>
      </x:c>
      <x:c r="C9" s="12" t="str">
        <x:v>候选海尔595×600×1906mm，模型占位660×730×2040mm；机体小于占位不等于可安装。</x:v>
      </x:c>
      <x:c r="D9" s="12" t="str">
        <x:v>核散热、开门抽屉、插座及整条搬运路线；原图墙体和洞口不得为家电擅改。</x:v>
      </x:c>
      <x:c r="E9" s="2"/>
      <x:c r="F9" s="2"/>
    </x:row>
    <x:row r="10" ht="15" hidden="0" customHeight="1">
      <x:c r="A10" s="12" t="str">
        <x:v>F04</x:v>
      </x:c>
      <x:c r="B10" s="12" t="str">
        <x:v>妹妹床与卧室通道</x:v>
      </x:c>
      <x:c r="C10" s="12" t="str">
        <x:v>妹妹用120×200床垫及TARVA外廓128×209cm；150床架不适合直接套用原145cm床框。</x:v>
      </x:c>
      <x:c r="D10" s="12" t="str">
        <x:v>现场按完成面、柜门开启和床头通道放样；本人试躺后锁货号。</x:v>
      </x:c>
      <x:c r="E10" s="2"/>
      <x:c r="F10" s="2"/>
    </x:row>
    <x:row r="11" ht="15" hidden="0" customHeight="1">
      <x:c r="A11" s="12" t="str">
        <x:v>F05</x:v>
      </x:c>
      <x:c r="B11" s="12" t="str">
        <x:v>沙发/电视柜与75寸电视</x:v>
      </x:c>
      <x:c r="C11" s="12" t="str">
        <x:v>VIMLE沙发241×98cm，比原示意占位深约6cm；成品电视柜比原230cm示意短。</x:v>
      </x:c>
      <x:c r="D11" s="12" t="str">
        <x:v>放样通道，核所选75D50真实机宽/底座支承范围及固定方法，勿以屏幕对角线判断可摆。</x:v>
      </x:c>
      <x:c r="E11" s="2"/>
      <x:c r="F11" s="2"/>
    </x:row>
    <x:row r="12" ht="15" hidden="0" customHeight="1">
      <x:c r="A12" s="12" t="str">
        <x:v>F06</x:v>
      </x:c>
      <x:c r="B12" s="12" t="str">
        <x:v>完整宣纸收纳</x:v>
      </x:c>
      <x:c r="C12" s="12" t="str">
        <x:v>原70×44cm柜无法平放68×136cm整纸。</x:v>
      </x:c>
      <x:c r="D12" s="12" t="str">
        <x:v>原柜只放小幅纸/册页，新增800元轻放收纳预留；纸样不宜卷存则另做净内尺寸足够的平放方案。</x:v>
      </x:c>
      <x:c r="E12" s="2"/>
      <x:c r="F12" s="2"/>
    </x:row>
    <x:row r="13" ht="15" hidden="0" customHeight="1">
      <x:c r="A13" s="12" t="str">
        <x:v>F07</x:v>
      </x:c>
      <x:c r="B13" s="12" t="str">
        <x:v>五卫卫浴与热水</x:v>
      </x:c>
      <x:c r="C13" s="12" t="str">
        <x:v>坐便坑距、盆柜固定基层、四淋浴水压未测；20L候选不保证冬季多人同时洗浴。</x:v>
      </x:c>
      <x:c r="D13" s="12" t="str">
        <x:v>按最不利用水点、温升、气源和并发需求核热源；确定回水、止回与检修；淋浴按每间实测选择。</x:v>
      </x:c>
      <x:c r="E13" s="2"/>
      <x:c r="F13" s="2"/>
    </x:row>
    <x:row r="14" ht="15" hidden="0" customHeight="1">
      <x:c r="A14" s="12" t="str">
        <x:v>F08</x:v>
      </x:c>
      <x:c r="B14" s="12" t="str">
        <x:v>空调室外机与负荷</x:v>
      </x:c>
      <x:c r="C14" s="12" t="str">
        <x:v>预算8个分区暂列7挂机+1柜机，非负荷计算结果；8台外机合法机位、散热、噪声未确认。</x:v>
      </x:c>
      <x:c r="D14" s="12" t="str">
        <x:v>先核原预留机位与物业条件，再比较分体/多联配置；安装、铜管、排水和最终容量重新报价。</x:v>
      </x:c>
      <x:c r="E14" s="2"/>
      <x:c r="F14" s="2"/>
    </x:row>
    <x:row r="15" ht="26.399999618530273" hidden="0" customHeight="1">
      <x:c r="A15" s="12" t="str">
        <x:v>F09</x:v>
      </x:c>
      <x:c r="B15" s="12" t="str">
        <x:v>洗烘机位置</x:v>
      </x:c>
      <x:c r="C15" s="12" t="str">
        <x:v>现家政区域并非已核湿区；地漏、排水、防水和楼板条件未确认。</x:v>
      </x:c>
      <x:c r="D15" s="12" t="str">
        <x:v>优先复核原合法湿区可用洗衣位置；H30仅常规配套暂列，禁止未经设计在干区穿板接排水，移动后重核柜体与动线和追加费用。</x:v>
      </x:c>
      <x:c r="E15" s="2"/>
      <x:c r="F15" s="2"/>
    </x:row>
    <x:row r="16" ht="15" hidden="0" customHeight="1">
      <x:c r="A16" s="12" t="str">
        <x:v>F10</x:v>
      </x:c>
      <x:c r="B16" s="12" t="str">
        <x:v>门窗与吊顶</x:v>
      </x:c>
      <x:c r="C16" s="12" t="str">
        <x:v>38处模型洞口中32处竖向未完整核实；门数9套、窗帘等均暂估。</x:v>
      </x:c>
      <x:c r="D16" s="12" t="str">
        <x:v>毛坯逐洞验收，合格开发商门窗保留；按完成面洞口表订门和窗帘，不从模型直接下料。</x:v>
      </x:c>
      <x:c r="E16" s="2"/>
      <x:c r="F16" s="2"/>
    </x:row>
    <x:row r="17" ht="26.399999618530273" hidden="0" customHeight="1">
      <x:c r="A17" s="12" t="str">
        <x:v>F11</x:v>
      </x:c>
      <x:c r="B17" s="12" t="str">
        <x:v>庭院/露台与花房</x:v>
      </x:c>
      <x:c r="C17" s="12" t="str">
        <x:v>南院47.504㎡、南廊9.797㎡、露台18.684㎡；仅开敞轻型园艺，无新增封闭阳光房预算。</x:v>
      </x:c>
      <x:c r="D17" s="12" t="str">
        <x:v>确认防水排水、饱水荷载、抗风及临空防护；先4花箱。若需玻璃封闭阳光房，须另核允许范围并专项设计报价。</x:v>
      </x:c>
      <x:c r="E17" s="2"/>
      <x:c r="F17" s="2"/>
    </x:row>
    <x:row r="18" ht="15" hidden="0" customHeight="1">
      <x:c r="A18" s="12" t="str">
        <x:v>F12</x:v>
      </x:c>
      <x:c r="B18" s="12" t="str">
        <x:v>灯光与电气</x:v>
      </x:c>
      <x:c r="C18" s="12" t="str">
        <x:v>62展示点不是完整电气点表；18干区/2厨/5卫/5室外主灯为采购预算。</x:v>
      </x:c>
      <x:c r="D18" s="12" t="str">
        <x:v>核照度、眩光、开关逻辑、湿区防护与末端回路；书法/毛线台灯实测，不靠总瓦数替代照度。</x:v>
      </x:c>
      <x:c r="E18" s="2"/>
      <x:c r="F18" s="2"/>
    </x:row>
    <x:row r="19" ht="15" hidden="0" customHeight="1">
      <x:c r="A19" s="12" t="str">
        <x:v>F13</x:v>
      </x:c>
      <x:c r="B19" s="12" t="str">
        <x:v>同范围报价去重</x:v>
      </x:c>
      <x:c r="C19" s="12" t="str">
        <x:v>H21安装预留；AP系统已含部分安装。厨房H23–26已计17430，五卫盆柜龙头镜柜在AP，花箱在G06。</x:v>
      </x:c>
      <x:c r="D19" s="12" t="str">
        <x:v>签约前做甲供乙供界面表，重复安装/柜体费扣除；所有增项先明确工程量、单价与批准记录。</x:v>
      </x:c>
      <x:c r="E19" s="2"/>
      <x:c r="F19" s="2"/>
    </x:row>
    <x:row r="20" ht="26.399999618530273" hidden="0" customHeight="1">
      <x:c r="A20" s="12" t="str">
        <x:v>F14</x:v>
      </x:c>
      <x:c r="B20" s="12" t="str">
        <x:v>原图一致性</x:v>
      </x:c>
      <x:c r="C20" s="12" t="str">
        <x:v>本版没有改变P02模型和原图边界；采购产品也尚未替换到三维模型。</x:v>
      </x:c>
      <x:c r="D20" s="12" t="str">
        <x:v>保持已核墙体/边界，在原图内复尺布置并更新施工图；不得把选品清单当作准确品牌实物模型或加工图。</x:v>
      </x:c>
      <x:c r="E20" s="2"/>
      <x:c r="F20" s="2"/>
    </x:row>
    <x:row r="21" ht="26.399999618530273" hidden="0" customHeight="1">
      <x:c r="A21" s="12" t="str">
        <x:v>X01</x:v>
      </x:c>
      <x:c r="B21" s="12" t="str">
        <x:v>旧梯拆除、楼板补板、新井开孔与加固</x:v>
      </x:c>
      <x:c r="C21" s="12" t="str">
        <x:v>是否允许尚未确认；不得以暂列金额推动禁止施工。确认合法方案后专项询价。</x:v>
      </x:c>
      <x:c r="D21" s="12" t="str">
        <x:v>不作0元或已含处理；取得范围明确的正式报价后补入预算。</x:v>
      </x:c>
      <x:c r="E21" s="2"/>
      <x:c r="F21" s="2"/>
    </x:row>
    <x:row r="22" ht="15" hidden="0" customHeight="1">
      <x:c r="A22" s="12" t="str">
        <x:v>X02</x:v>
      </x:c>
      <x:c r="B22" s="12" t="str">
        <x:v>完整外窗更换、屋面或外墙全面整修</x:v>
      </x:c>
      <x:c r="C22" s="12" t="str">
        <x:v>毛坯原窗先验收并确认开发商整改责任，不预设整窗换新。屋顶/外立面重大更换范围未定。</x:v>
      </x:c>
      <x:c r="D22" s="12" t="str">
        <x:v>不作0元或已含处理；取得范围明确的正式报价后补入预算。</x:v>
      </x:c>
      <x:c r="E22" s="2"/>
      <x:c r="F22" s="2"/>
    </x:row>
    <x:row r="23" ht="26.399999618530273" hidden="0" customHeight="1">
      <x:c r="A23" s="12" t="str">
        <x:v>X03</x:v>
      </x:c>
      <x:c r="B23" s="12" t="str">
        <x:v>产权外工程、地下开挖、景观重构及管网迁移</x:v>
      </x:c>
      <x:c r="C23" s="12" t="str">
        <x:v>不扩大到原图未核地界，未知地下管与基坑工程未计。</x:v>
      </x:c>
      <x:c r="D23" s="12" t="str">
        <x:v>不作0元或已含处理；取得范围明确的正式报价后补入预算。</x:v>
      </x:c>
      <x:c r="E23" s="2"/>
      <x:c r="F23" s="2"/>
    </x:row>
    <x:row r="24" ht="26.399999618530273" hidden="0" customHeight="1">
      <x:c r="A24" s="12" t="str">
        <x:v>X04</x:v>
      </x:c>
      <x:c r="B24" s="12" t="str">
        <x:v>未知渗漏结构缺陷、非常规运输与临时居住</x:v>
      </x:c>
      <x:c r="C24" s="12" t="str">
        <x:v>现场条件及家庭安排未确认，不以0元表示。</x:v>
      </x:c>
      <x:c r="D24" s="12" t="str">
        <x:v>不作0元或已含处理；取得范围明确的正式报价后补入预算。</x:v>
      </x:c>
      <x:c r="E24" s="2"/>
      <x:c r="F24" s="2"/>
    </x:row>
    <x:row r="25" ht="26.399999618530273" hidden="0" customHeight="1">
      <x:c r="A25" s="12" t="str">
        <x:v>X05</x:v>
      </x:c>
      <x:c r="B25" s="12" t="str">
        <x:v>装修公司额外管理费/税费/甲供费差额</x:v>
      </x:c>
      <x:c r="C25" s="12" t="str">
        <x:v>本预算工料单价按拟含税总支出规划，但未取得合同税费及甲供材料收费表；报价需核是否已含，不能机械再加税。</x:v>
      </x:c>
      <x:c r="D25" s="12" t="str">
        <x:v>不作0元或已含处理；取得范围明确的正式报价后补入预算。</x:v>
      </x:c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